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sk Register Template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<sst xmlns="http://schemas.openxmlformats.org/spreadsheetml/2006/main" count="25" uniqueCount="25">
  <si>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Cybersecurity Risk Register — Blank Template</t>
  </si>
  <si>
    <t xml:space="preserve">Reusable template based on NIST CSF 2.0 / NIST SP 800-30 risk scoring methodology</t>
  </si>
  <si>
    <t xml:space="preserve">Risk ID</t>
  </si>
  <si>
    <t xml:space="preserve">Date Identified</t>
  </si>
  <si>
    <t xml:space="preserve">NIST CSF Function</t>
  </si>
  <si>
    <t xml:space="preserve">Risk Category</t>
  </si>
  <si>
    <t xml:space="preserve">Risk Description</t>
  </si>
  <si>
    <t xml:space="preserve">Threat Source</t>
  </si>
  <si>
    <t xml:space="preserve">Vulnerability</t>
  </si>
  <si>
    <t xml:space="preserve">Existing Controls</t>
  </si>
  <si>
    <t xml:space="preserve">Likelihood (1-5)</t>
  </si>
  <si>
    <t xml:space="preserve">Impact (1-5)</t>
  </si>
  <si>
    <t xml:space="preserve">Risk Score</t>
  </si>
  <si>
    <t xml:space="preserve">Risk Rating</t>
  </si>
  <si>
    <t xml:space="preserve">Risk Owner</t>
  </si>
  <si>
    <t xml:space="preserve">Related POA&amp;M ID</t>
  </si>
  <si>
    <t xml:space="preserve">Status</t>
  </si>
  <si>
    <t xml:space="preserve">How to Use This Template</t>
  </si>
  <si>
    <t xml:space="preserve">1. Fill in one row per identified risk. Risk ID can follow a simple sequential format (e.g., RISK-01, RISK-02).</t>
  </si>
  <si>
    <t xml:space="preserve">2. NIST CSF Function should be one of: Govern, Identify, Protect, Detect, Respond, Recover.</t>
  </si>
  <si>
    <t xml:space="preserve">3. Score Likelihood and Impact on a 1-5 scale (see Scoring Methodology sheet in the completed risk-register.xlsx example for full scale definitions).</t>
  </si>
  <si>
    <t xml:space="preserve">4. Risk Score and Risk Rating calculate automatically based on Likelihood x Impact.</t>
  </si>
  <si>
    <t xml:space="preserve">5. Risk Rating thresholds: Critical = 15-25, High = 9-14, Medium = 4-8, Low = 1-3.</t>
  </si>
  <si>
    <t xml:space="preserve">6. Link each risk to a corresponding POA&amp;M item once a remediation action is defined.</t>
  </si>
  <si>
    <t xml:space="preserve">7. Update Status as remediation progresses: Open -&gt; In Progress -&gt; Mitigated/Accepted/Closed.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</si>
</sst>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6B6B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A9D0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8" min="7" style="0" width="28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 t="str">
        <f aca="false">IF(AND(I5&lt;&gt;"",J5&lt;&gt;""),I5*J5,"")</f>
        <v/>
      </c>
      <c r="L5" s="4" t="str">
        <f aca="false">IF(K5="","",IF(K5&gt;=15,"Critical",IF(K5&gt;=9,"High",IF(K5&gt;=4,"Medium","Low"))))</f>
        <v/>
      </c>
      <c r="M5" s="4"/>
      <c r="N5" s="4"/>
      <c r="O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 t="str">
        <f aca="false">IF(AND(I6&lt;&gt;"",J6&lt;&gt;""),I6*J6,"")</f>
        <v/>
      </c>
      <c r="L6" s="4" t="str">
        <f aca="false">IF(K6="","",IF(K6&gt;=15,"Critical",IF(K6&gt;=9,"High",IF(K6&gt;=4,"Medium","Low"))))</f>
        <v/>
      </c>
      <c r="M6" s="4"/>
      <c r="N6" s="4"/>
      <c r="O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 t="str">
        <f aca="false">IF(AND(I7&lt;&gt;"",J7&lt;&gt;""),I7*J7,"")</f>
        <v/>
      </c>
      <c r="L7" s="4" t="str">
        <f aca="false">IF(K7="","",IF(K7&gt;=15,"Critical",IF(K7&gt;=9,"High",IF(K7&gt;=4,"Medium","Low"))))</f>
        <v/>
      </c>
      <c r="M7" s="4"/>
      <c r="N7" s="4"/>
      <c r="O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 t="str">
        <f aca="false">IF(AND(I8&lt;&gt;"",J8&lt;&gt;""),I8*J8,"")</f>
        <v/>
      </c>
      <c r="L8" s="4" t="str">
        <f aca="false">IF(K8="","",IF(K8&gt;=15,"Critical",IF(K8&gt;=9,"High",IF(K8&gt;=4,"Medium","Low"))))</f>
        <v/>
      </c>
      <c r="M8" s="4"/>
      <c r="N8" s="4"/>
      <c r="O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 t="str">
        <f aca="false">IF(AND(I9&lt;&gt;"",J9&lt;&gt;""),I9*J9,"")</f>
        <v/>
      </c>
      <c r="L9" s="4" t="str">
        <f aca="false">IF(K9="","",IF(K9&gt;=15,"Critical",IF(K9&gt;=9,"High",IF(K9&gt;=4,"Medium","Low"))))</f>
        <v/>
      </c>
      <c r="M9" s="4"/>
      <c r="N9" s="4"/>
      <c r="O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tr">
        <f aca="false">IF(AND(I10&lt;&gt;"",J10&lt;&gt;""),I10*J10,"")</f>
        <v/>
      </c>
      <c r="L10" s="4" t="str">
        <f aca="false">IF(K10="","",IF(K10&gt;=15,"Critical",IF(K10&gt;=9,"High",IF(K10&gt;=4,"Medium","Low"))))</f>
        <v/>
      </c>
      <c r="M10" s="4"/>
      <c r="N10" s="4"/>
      <c r="O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 t="str">
        <f aca="false">IF(AND(I11&lt;&gt;"",J11&lt;&gt;""),I11*J11,"")</f>
        <v/>
      </c>
      <c r="L11" s="4" t="str">
        <f aca="false">IF(K11="","",IF(K11&gt;=15,"Critical",IF(K11&gt;=9,"High",IF(K11&gt;=4,"Medium","Low"))))</f>
        <v/>
      </c>
      <c r="M11" s="4"/>
      <c r="N11" s="4"/>
      <c r="O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 t="str">
        <f aca="false">IF(AND(I12&lt;&gt;"",J12&lt;&gt;""),I12*J12,"")</f>
        <v/>
      </c>
      <c r="L12" s="4" t="str">
        <f aca="false">IF(K12="","",IF(K12&gt;=15,"Critical",IF(K12&gt;=9,"High",IF(K12&gt;=4,"Medium","Low"))))</f>
        <v/>
      </c>
      <c r="M12" s="4"/>
      <c r="N12" s="4"/>
      <c r="O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 t="str">
        <f aca="false">IF(AND(I13&lt;&gt;"",J13&lt;&gt;""),I13*J13,"")</f>
        <v/>
      </c>
      <c r="L13" s="4" t="str">
        <f aca="false">IF(K13="","",IF(K13&gt;=15,"Critical",IF(K13&gt;=9,"High",IF(K13&gt;=4,"Medium","Low"))))</f>
        <v/>
      </c>
      <c r="M13" s="4"/>
      <c r="N13" s="4"/>
      <c r="O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 t="str">
        <f aca="false">IF(AND(I14&lt;&gt;"",J14&lt;&gt;""),I14*J14,"")</f>
        <v/>
      </c>
      <c r="L14" s="4" t="str">
        <f aca="false">IF(K14="","",IF(K14&gt;=15,"Critical",IF(K14&gt;=9,"High",IF(K14&gt;=4,"Medium","Low"))))</f>
        <v/>
      </c>
      <c r="M14" s="4"/>
      <c r="N14" s="4"/>
      <c r="O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 t="str">
        <f aca="false">IF(AND(I15&lt;&gt;"",J15&lt;&gt;""),I15*J15,"")</f>
        <v/>
      </c>
      <c r="L15" s="4" t="str">
        <f aca="false">IF(K15="","",IF(K15&gt;=15,"Critical",IF(K15&gt;=9,"High",IF(K15&gt;=4,"Medium","Low"))))</f>
        <v/>
      </c>
      <c r="M15" s="4"/>
      <c r="N15" s="4"/>
      <c r="O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 t="str">
        <f aca="false">IF(AND(I16&lt;&gt;"",J16&lt;&gt;""),I16*J16,"")</f>
        <v/>
      </c>
      <c r="L16" s="4" t="str">
        <f aca="false">IF(K16="","",IF(K16&gt;=15,"Critical",IF(K16&gt;=9,"High",IF(K16&gt;=4,"Medium","Low"))))</f>
        <v/>
      </c>
      <c r="M16" s="4"/>
      <c r="N16" s="4"/>
      <c r="O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 t="str">
        <f aca="false">IF(AND(I17&lt;&gt;"",J17&lt;&gt;""),I17*J17,"")</f>
        <v/>
      </c>
      <c r="L17" s="4" t="str">
        <f aca="false">IF(K17="","",IF(K17&gt;=15,"Critical",IF(K17&gt;=9,"High",IF(K17&gt;=4,"Medium","Low"))))</f>
        <v/>
      </c>
      <c r="M17" s="4"/>
      <c r="N17" s="4"/>
      <c r="O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 t="str">
        <f aca="false">IF(AND(I18&lt;&gt;"",J18&lt;&gt;""),I18*J18,"")</f>
        <v/>
      </c>
      <c r="L18" s="4" t="str">
        <f aca="false">IF(K18="","",IF(K18&gt;=15,"Critical",IF(K18&gt;=9,"High",IF(K18&gt;=4,"Medium","Low"))))</f>
        <v/>
      </c>
      <c r="M18" s="4"/>
      <c r="N18" s="4"/>
      <c r="O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 t="str">
        <f aca="false">IF(AND(I19&lt;&gt;"",J19&lt;&gt;""),I19*J19,"")</f>
        <v/>
      </c>
      <c r="L19" s="4" t="str">
        <f aca="false">IF(K19="","",IF(K19&gt;=15,"Critical",IF(K19&gt;=9,"High",IF(K19&gt;=4,"Medium","Low"))))</f>
        <v/>
      </c>
      <c r="M19" s="4"/>
      <c r="N19" s="4"/>
      <c r="O19" s="4"/>
    </row>
  </sheetData>
  <conditionalFormatting sqref="L5:L19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dataValidations count="3">
    <dataValidation allowBlank="true" errorStyle="stop" operator="between" showDropDown="false" showErrorMessage="false" showInputMessage="false" sqref="C5:C19" type="list">
      <formula1>"Govern,Identify,Protect,Detect,Respond,Recover"</formula1>
      <formula2>0</formula2>
    </dataValidation>
    <dataValidation allowBlank="true" errorStyle="stop" operator="between" showDropDown="false" showErrorMessage="false" showInputMessage="false" sqref="I5:J19" type="whole">
      <formula1>1</formula1>
      <formula2>5</formula2>
    </dataValidation>
    <dataValidation allowBlank="true" errorStyle="stop" operator="between" showDropDown="false" showErrorMessage="false" showInputMessage="false" sqref="O5:O19" type="list">
      <formula1>"Open,In Progress,Mitigated,Accepted,Closed"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17</v>
      </c>
    </row>
    <row r="3" customFormat="false" ht="15" hidden="false" customHeight="false" outlineLevel="0" collapsed="false">
      <c r="A3" s="5" t="s">
        <v>18</v>
      </c>
    </row>
    <row r="4" customFormat="false" ht="15" hidden="false" customHeight="false" outlineLevel="0" collapsed="false">
      <c r="A4" s="5" t="s">
        <v>19</v>
      </c>
    </row>
    <row r="5" customFormat="false" ht="23.85" hidden="false" customHeight="false" outlineLevel="0" collapsed="false">
      <c r="A5" s="5" t="s">
        <v>20</v>
      </c>
    </row>
    <row r="6" customFormat="false" ht="15" hidden="false" customHeight="false" outlineLevel="0" collapsed="false">
      <c r="A6" s="5" t="s">
        <v>21</v>
      </c>
    </row>
    <row r="7" customFormat="false" ht="15" hidden="false" customHeight="false" outlineLevel="0" collapsed="false">
      <c r="A7" s="5" t="s">
        <v>22</v>
      </c>
    </row>
    <row r="8" customFormat="false" ht="15" hidden="false" customHeight="false" outlineLevel="0" collapsed="false">
      <c r="A8" s="5" t="s">
        <v>23</v>
      </c>
    </row>
    <row r="9" customFormat="false" ht="15" hidden="false" customHeight="false" outlineLevel="0" collapsed="false">
      <c r="A9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2026-06-17T19:46:59Z</dcterms:created>
  <dc:creator>openpyxl</dc:creator>
  <dc:description/>
  <dc:language>en-US</dc:language>
  <cp:lastModifiedBy/>
  <dcterms:modified xsi:type="dcterms:W3CDTF">2026-06-17T19:46:59Z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
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AWS" sheetId="2" state="visible" r:id="rId4"/>
    <sheet name="Payment Gateway" sheetId="3" state="visible" r:id="rId5"/>
    <sheet name="Okta" sheetId="4" state="visible" r:id="rId6"/>
    <sheet name="KYC Vendor" sheetId="5" state="visible" r:id="rId7"/>
    <sheet name="Support Contractor A" sheetId="6" state="visible" r:id="rId8"/>
    <sheet name="Support Contractor B" sheetId="7" state="visible" r:id="rId9"/>
    <sheet name="HRIS - Payroll Vendo" sheetId="8" state="visible" r:id="rId10"/>
    <sheet name="Scoring Legen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<sst xmlns="http://schemas.openxmlformats.org/spreadsheetml/2006/main" count="1735" uniqueCount="164">
  <si>
    <t xml:space="preserve">Meridian Pay Solutions — Third-Party Vendor Risk Assessment</t>
  </si>
  <si>
    <t xml:space="preserve">NIST CSF 2.0 / SIG Lite Aligned | Fictional Case Study | Assessment Period: Q1 2026</t>
  </si>
  <si>
    <t xml:space="preserve">Vendor</t>
  </si>
  <si>
    <t xml:space="preserve">Service Type</t>
  </si>
  <si>
    <t xml:space="preserve">Risk Tier</t>
  </si>
  <si>
    <t xml:space="preserve">Overall Score</t>
  </si>
  <si>
    <t xml:space="preserve">Risk Rating</t>
  </si>
  <si>
    <t xml:space="preserve">Domains Passed</t>
  </si>
  <si>
    <t xml:space="preserve">Domains Partial</t>
  </si>
  <si>
    <t xml:space="preserve">Domains Failed</t>
  </si>
  <si>
    <t xml:space="preserve">Assessment Date</t>
  </si>
  <si>
    <t xml:space="preserve">Assessor</t>
  </si>
  <si>
    <t xml:space="preserve">AWS</t>
  </si>
  <si>
    <t xml:space="preserve">Cloud Infrastructure</t>
  </si>
  <si>
    <t xml:space="preserve">Tier 1 – Critical</t>
  </si>
  <si>
    <t xml:space="preserve">2026-01-20</t>
  </si>
  <si>
    <t xml:space="preserve">GRC Analyst</t>
  </si>
  <si>
    <t xml:space="preserve">Payment Gateway</t>
  </si>
  <si>
    <t xml:space="preserve">Card Network / Tokenization</t>
  </si>
  <si>
    <t xml:space="preserve">Okta</t>
  </si>
  <si>
    <t xml:space="preserve">Workforce Identity / SSO</t>
  </si>
  <si>
    <t xml:space="preserve">KYC Vendor</t>
  </si>
  <si>
    <t xml:space="preserve">Identity Verification</t>
  </si>
  <si>
    <t xml:space="preserve">Tier 2 – High</t>
  </si>
  <si>
    <t xml:space="preserve">Support Contractor A</t>
  </si>
  <si>
    <t xml:space="preserve">Offshore Customer Support</t>
  </si>
  <si>
    <t xml:space="preserve">Support Contractor B</t>
  </si>
  <si>
    <t xml:space="preserve">HRIS / Payroll Vendor</t>
  </si>
  <si>
    <t xml:space="preserve">HR &amp; Payroll Processing</t>
  </si>
  <si>
    <t xml:space="preserve">Vendor Risk Assessment — AWS</t>
  </si>
  <si>
    <t xml:space="preserve">Service: Cloud Infrastructure  |  Risk Tier: Tier 1 – Critical  |  Meridian Pay Solutions  |  Q1 2026</t>
  </si>
  <si>
    <t xml:space="preserve">#</t>
  </si>
  <si>
    <t xml:space="preserve">Question</t>
  </si>
  <si>
    <t xml:space="preserve">Response (Y/P/N/NA)</t>
  </si>
  <si>
    <t xml:space="preserve">Score</t>
  </si>
  <si>
    <t xml:space="preserve">Notes / Evidence Required</t>
  </si>
  <si>
    <t xml:space="preserve">  Domain 1: Organizational Security Governance</t>
  </si>
  <si>
    <t xml:space="preserve">Does the vendor have a documented Information Security Policy reviewed at least annually?</t>
  </si>
  <si>
    <t xml:space="preserve">Yes</t>
  </si>
  <si>
    <t xml:space="preserve">Documentation / certification on file or available upon request.</t>
  </si>
  <si>
    <t xml:space="preserve">Is there a dedicated security leadership role (CISO or equivalent)?</t>
  </si>
  <si>
    <t xml:space="preserve">Does the vendor conduct annual security risk assessments?</t>
  </si>
  <si>
    <t xml:space="preserve">Are security roles and responsibilities formally documented and communicated to staff?</t>
  </si>
  <si>
    <t xml:space="preserve">Does the vendor maintain a security awareness training program for all employees?</t>
  </si>
  <si>
    <t xml:space="preserve">Does the vendor have a formal third-party / supply chain risk management program?</t>
  </si>
  <si>
    <t xml:space="preserve">Are security metrics reported regularly to executive leadership or a board?</t>
  </si>
  <si>
    <t xml:space="preserve">Does the vendor perform background checks on employees with access to client data?</t>
  </si>
  <si>
    <t xml:space="preserve">Does the vendor have a documented acceptable use policy for systems and data?</t>
  </si>
  <si>
    <t xml:space="preserve">Domain 1 Score — Organizational Security Governance</t>
  </si>
  <si>
    <t xml:space="preserve">  Domain 2: Data Security &amp; Classification</t>
  </si>
  <si>
    <t xml:space="preserve">Does the vendor maintain a data classification policy (e.g., Public, Confidential, Restricted)?</t>
  </si>
  <si>
    <t xml:space="preserve">Is data at rest encrypted using industry-standard algorithms (AES-256 or equivalent)?</t>
  </si>
  <si>
    <t xml:space="preserve">Is data in transit encrypted using TLS 1.2 or higher?</t>
  </si>
  <si>
    <t xml:space="preserve">Does the vendor maintain a data inventory identifying where client data is stored and processed?</t>
  </si>
  <si>
    <t xml:space="preserve">Are data retention and destruction policies documented and enforced?</t>
  </si>
  <si>
    <t xml:space="preserve">Does the vendor restrict data processing to agreed geographic regions / jurisdictions?</t>
  </si>
  <si>
    <t xml:space="preserve">Are encryption keys managed via a formal key management process (rotation, revocation)?</t>
  </si>
  <si>
    <t xml:space="preserve">Is client data logically separated from other customers' data (multi-tenant controls)?</t>
  </si>
  <si>
    <t xml:space="preserve">Does the vendor have controls preventing unauthorized copying or exfiltration of data?</t>
  </si>
  <si>
    <t xml:space="preserve">Domain 2 Score — Data Security &amp; Classification</t>
  </si>
  <si>
    <t xml:space="preserve">  Domain 3: Access Control &amp; Identity Management</t>
  </si>
  <si>
    <t xml:space="preserve">Is multi-factor authentication (MFA) enforced for all access to systems handling client data?</t>
  </si>
  <si>
    <t xml:space="preserve">Is role-based access control (RBAC) implemented with least-privilege principles?</t>
  </si>
  <si>
    <t xml:space="preserve">Are privileged accounts (admin/root) managed separately with enhanced controls?</t>
  </si>
  <si>
    <t xml:space="preserve">Are access rights reviewed and recertified at least quarterly?</t>
  </si>
  <si>
    <t xml:space="preserve">Is access promptly revoked upon employee termination or role change?</t>
  </si>
  <si>
    <t xml:space="preserve">Are all remote access sessions secured via VPN or equivalent encrypted tunnel?</t>
  </si>
  <si>
    <t xml:space="preserve">Is single sign-on (SSO) implemented with a centralized identity provider?</t>
  </si>
  <si>
    <t xml:space="preserve">Are service accounts inventoried and subject to the same access controls as user accounts?</t>
  </si>
  <si>
    <t xml:space="preserve">Does the vendor log and monitor all privileged account activity?</t>
  </si>
  <si>
    <t xml:space="preserve">Domain 3 Score — Access Control &amp; Identity Management</t>
  </si>
  <si>
    <t xml:space="preserve">  Domain 4: Incident Response &amp; Notification</t>
  </si>
  <si>
    <t xml:space="preserve">Does the vendor have a documented and tested Incident Response Plan (IRP)?</t>
  </si>
  <si>
    <t xml:space="preserve">Are incident response roles and responsibilities (RACI) formally defined?</t>
  </si>
  <si>
    <t xml:space="preserve">Does the vendor conduct tabletop exercises or simulated incident drills at least annually?</t>
  </si>
  <si>
    <t xml:space="preserve">Is there a defined incident severity classification and escalation framework?</t>
  </si>
  <si>
    <t xml:space="preserve">Will the vendor notify Meridian Pay of a confirmed breach within 24 hours of discovery?</t>
  </si>
  <si>
    <t xml:space="preserve">Does the vendor maintain forensic readiness procedures (evidence preservation)?</t>
  </si>
  <si>
    <t xml:space="preserve">Is there a defined process for post-incident review and lessons-learned documentation?</t>
  </si>
  <si>
    <t xml:space="preserve">Does the vendor have a 24/7 security operations or on-call capability for incident response?</t>
  </si>
  <si>
    <t xml:space="preserve">Are breach notification procedures mapped to applicable regulatory timelines?</t>
  </si>
  <si>
    <t xml:space="preserve">Domain 4 Score — Incident Response &amp; Notification</t>
  </si>
  <si>
    <t xml:space="preserve">  Domain 5: Business Continuity &amp; Disaster Recovery</t>
  </si>
  <si>
    <t xml:space="preserve">Does the vendor have a documented Business Continuity Plan (BCP)?</t>
  </si>
  <si>
    <t xml:space="preserve">Does the vendor have a documented Disaster Recovery Plan (DRP)?</t>
  </si>
  <si>
    <t xml:space="preserve">Are BCP/DRP tested via tabletop exercises or live failover at least annually?</t>
  </si>
  <si>
    <t xml:space="preserve">Are Recovery Time Objectives (RTO) and Recovery Point Objectives (RPO) formally defined?</t>
  </si>
  <si>
    <t xml:space="preserve">Are production systems and data backed up at a frequency consistent with defined RPO?</t>
  </si>
  <si>
    <t xml:space="preserve">Are backups stored in a geographically separate location from primary systems?</t>
  </si>
  <si>
    <t xml:space="preserve">Are backup restoration procedures tested at least semi-annually?</t>
  </si>
  <si>
    <t xml:space="preserve">Does the vendor maintain redundant infrastructure (availability zones, failover)?</t>
  </si>
  <si>
    <t xml:space="preserve">Are critical third-party dependencies included in BCP/DRP scope?</t>
  </si>
  <si>
    <t xml:space="preserve">Domain 5 Score — Business Continuity &amp; Disaster Recovery</t>
  </si>
  <si>
    <t xml:space="preserve">  Domain 6: Infrastructure &amp; Network Security</t>
  </si>
  <si>
    <t xml:space="preserve">Does the vendor conduct vulnerability scanning on a defined recurring schedule?</t>
  </si>
  <si>
    <t xml:space="preserve">Does the vendor conduct penetration testing at least annually by a qualified third party?</t>
  </si>
  <si>
    <t xml:space="preserve">Are security patches applied within defined SLAs (e.g., critical within 30 days)?</t>
  </si>
  <si>
    <t xml:space="preserve">Is network traffic segmented to isolate sensitive systems from general corporate networks?</t>
  </si>
  <si>
    <t xml:space="preserve">Does the vendor operate a centralized SIEM or log management platform?</t>
  </si>
  <si>
    <t xml:space="preserve">Are security alerts monitored continuously (24/7) by a SOC or equivalent function?</t>
  </si>
  <si>
    <t xml:space="preserve">Is a Web Application Firewall (WAF) deployed for customer-facing applications?</t>
  </si>
  <si>
    <t xml:space="preserve">Are endpoint devices managed and protected with EDR or equivalent endpoint controls?</t>
  </si>
  <si>
    <t xml:space="preserve">Is configuration management / hardening applied to all production systems?</t>
  </si>
  <si>
    <t xml:space="preserve">Domain 6 Score — Infrastructure &amp; Network Security</t>
  </si>
  <si>
    <t xml:space="preserve">  Domain 7: Compliance &amp; Certifications</t>
  </si>
  <si>
    <t xml:space="preserve">Does the vendor hold a current SOC 2 Type II report (within last 12 months)?</t>
  </si>
  <si>
    <t xml:space="preserve">Does the vendor hold ISO 27001 certification or equivalent?</t>
  </si>
  <si>
    <t xml:space="preserve">Is the vendor PCI-DSS compliant (if applicable to services provided)?</t>
  </si>
  <si>
    <t xml:space="preserve">N/A</t>
  </si>
  <si>
    <t xml:space="preserve">Not applicable to this vendor's service scope.</t>
  </si>
  <si>
    <t xml:space="preserve">Does the vendor comply with applicable data privacy regulations (e.g., CCPA, GDPR)?</t>
  </si>
  <si>
    <t xml:space="preserve">Are compliance certifications made available to Meridian Pay upon request?</t>
  </si>
  <si>
    <t xml:space="preserve">Does the vendor undergo annual third-party security audits?</t>
  </si>
  <si>
    <t xml:space="preserve">Are audit findings tracked and remediated within agreed timeframes?</t>
  </si>
  <si>
    <t xml:space="preserve">Does the vendor maintain a formal compliance program with dedicated ownership?</t>
  </si>
  <si>
    <t xml:space="preserve">Is the vendor's compliance posture reviewed as part of the contract renewal process?</t>
  </si>
  <si>
    <t xml:space="preserve">Domain 7 Score — Compliance &amp; Certifications</t>
  </si>
  <si>
    <t xml:space="preserve">  Domain 8: Fourth-Party / Subcontractor Risk</t>
  </si>
  <si>
    <t xml:space="preserve">Does the vendor maintain an inventory of all subcontractors with access to client data?</t>
  </si>
  <si>
    <t xml:space="preserve">Are subcontractors subject to security assessments before engagement?</t>
  </si>
  <si>
    <t xml:space="preserve">Are subcontractors contractually required to meet equivalent security standards?</t>
  </si>
  <si>
    <t xml:space="preserve">Does the vendor require notification to Meridian Pay before engaging new subcontractors?</t>
  </si>
  <si>
    <t xml:space="preserve">Are subcontractor access rights limited to the minimum necessary for service delivery?</t>
  </si>
  <si>
    <t xml:space="preserve">Are subcontractor relationships included in the vendor's BCP/DRP scope?</t>
  </si>
  <si>
    <t xml:space="preserve">Does the vendor conduct periodic reviews of subcontractor compliance?</t>
  </si>
  <si>
    <t xml:space="preserve">Are subcontractors prohibited from further sub-contracting without prior approval?</t>
  </si>
  <si>
    <t xml:space="preserve">Domain 8 Score — Fourth-Party / Subcontractor Risk</t>
  </si>
  <si>
    <t xml:space="preserve">OVERALL VENDOR SCORE</t>
  </si>
  <si>
    <t xml:space="preserve">RISK RATING</t>
  </si>
  <si>
    <t xml:space="preserve">Vendor Risk Assessment — Payment Gateway</t>
  </si>
  <si>
    <t xml:space="preserve">Service: Card Network / Tokenization  |  Risk Tier: Tier 1 – Critical  |  Meridian Pay Solutions  |  Q1 2026</t>
  </si>
  <si>
    <t xml:space="preserve">Partial</t>
  </si>
  <si>
    <t xml:space="preserve">Partial controls in place — gap remediation plan or timeline requested.</t>
  </si>
  <si>
    <t xml:space="preserve">Vendor Risk Assessment — Okta</t>
  </si>
  <si>
    <t xml:space="preserve">Service: Workforce Identity / SSO  |  Risk Tier: Tier 1 – Critical  |  Meridian Pay Solutions  |  Q1 2026</t>
  </si>
  <si>
    <t xml:space="preserve">Vendor Risk Assessment — KYC Vendor</t>
  </si>
  <si>
    <t xml:space="preserve">Service: Identity Verification  |  Risk Tier: Tier 2 – High  |  Meridian Pay Solutions  |  Q1 2026</t>
  </si>
  <si>
    <t xml:space="preserve">Vendor Risk Assessment — Support Contractor A</t>
  </si>
  <si>
    <t xml:space="preserve">Service: Offshore Customer Support  |  Risk Tier: Tier 2 – High  |  Meridian Pay Solutions  |  Q1 2026</t>
  </si>
  <si>
    <t xml:space="preserve">No</t>
  </si>
  <si>
    <t xml:space="preserve">Control not in place — vendor must provide remediation timeline.</t>
  </si>
  <si>
    <t xml:space="preserve">Vendor Risk Assessment — Support Contractor B</t>
  </si>
  <si>
    <t xml:space="preserve">Vendor Risk Assessment — HRIS / Payroll Vendor</t>
  </si>
  <si>
    <t xml:space="preserve">Service: HR &amp; Payroll Processing  |  Risk Tier: Tier 2 – High  |  Meridian Pay Solutions  |  Q1 2026</t>
  </si>
  <si>
    <t xml:space="preserve">Vendor Risk Scoring — Methodology &amp; Legend</t>
  </si>
  <si>
    <t xml:space="preserve">Each question is scored: Yes = 1.0 | Partial = 0.5 | No = 0.0 | N/A = excluded from average</t>
  </si>
  <si>
    <t xml:space="preserve">Interpretation</t>
  </si>
  <si>
    <t xml:space="preserve">Recommended Action</t>
  </si>
  <si>
    <t xml:space="preserve">≥ 85%</t>
  </si>
  <si>
    <t xml:space="preserve">Low Risk</t>
  </si>
  <si>
    <t xml:space="preserve">Vendor demonstrates strong security controls with minimal gaps</t>
  </si>
  <si>
    <t xml:space="preserve">Annual reassessment; monitor certifications</t>
  </si>
  <si>
    <t xml:space="preserve">65–84%</t>
  </si>
  <si>
    <t xml:space="preserve">Medium Risk</t>
  </si>
  <si>
    <t xml:space="preserve">Vendor has generally adequate controls with notable gaps in some areas</t>
  </si>
  <si>
    <t xml:space="preserve">Semi-annual check-in; request remediation plan for gaps</t>
  </si>
  <si>
    <t xml:space="preserve">45–64%</t>
  </si>
  <si>
    <t xml:space="preserve">High Risk</t>
  </si>
  <si>
    <t xml:space="preserve">Vendor has significant control gaps posing material risk</t>
  </si>
  <si>
    <t xml:space="preserve">Immediate gap remediation required; quarterly monitoring</t>
  </si>
  <si>
    <t xml:space="preserve">&lt; 45%</t>
  </si>
  <si>
    <t xml:space="preserve">Critical Risk</t>
  </si>
  <si>
    <t xml:space="preserve">Vendor has critical control failures; continued engagement poses significant risk</t>
  </si>
  <si>
    <t xml:space="preserve">Escalate to leadership; consider contract review or termination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</si>
</sst>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A9D08E"/>
        <bgColor rgb="FFB7B7B7"/>
      </patternFill>
    </fill>
    <fill>
      <patternFill patternType="solid">
        <fgColor rgb="FFFFD966"/>
        <bgColor rgb="FFFFFF99"/>
      </patternFill>
    </fill>
    <fill>
      <patternFill patternType="solid">
        <fgColor rgb="FFFF6B6B"/>
        <bgColor rgb="FFFF6600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F6B6B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A9D08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6" min="4" style="1" width="14"/>
    <col collapsed="false" customWidth="true" hidden="false" outlineLevel="0" max="7" min="7" style="1" width="15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0" min="10" style="1" width="13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5" t="s">
        <v>13</v>
      </c>
      <c r="C5" s="5" t="s">
        <v>14</v>
      </c>
      <c r="D5" s="6" t="n">
        <f aca="false">AWS!D100</f>
        <v>1</v>
      </c>
      <c r="E5" s="5" t="str">
        <f aca="false">AWS!D101</f>
        <v>Low Risk</v>
      </c>
      <c r="F5" s="5"/>
      <c r="G5" s="5"/>
      <c r="H5" s="5"/>
      <c r="I5" s="5" t="s">
        <v>15</v>
      </c>
      <c r="J5" s="5" t="s">
        <v>16</v>
      </c>
    </row>
    <row r="6" customFormat="false" ht="15" hidden="false" customHeight="true" outlineLevel="0" collapsed="false">
      <c r="A6" s="5" t="s">
        <v>17</v>
      </c>
      <c r="B6" s="5" t="s">
        <v>18</v>
      </c>
      <c r="C6" s="5" t="s">
        <v>14</v>
      </c>
      <c r="D6" s="6" t="n">
        <f aca="false">'Payment Gateway'!D100</f>
        <v>0.993055555555556</v>
      </c>
      <c r="E6" s="5" t="str">
        <f aca="false">'Payment Gateway'!D101</f>
        <v>Low Risk</v>
      </c>
      <c r="F6" s="5"/>
      <c r="G6" s="5"/>
      <c r="H6" s="5"/>
      <c r="I6" s="5" t="s">
        <v>15</v>
      </c>
      <c r="J6" s="5" t="s">
        <v>16</v>
      </c>
    </row>
    <row r="7" customFormat="false" ht="15" hidden="false" customHeight="true" outlineLevel="0" collapsed="false">
      <c r="A7" s="5" t="s">
        <v>19</v>
      </c>
      <c r="B7" s="5" t="s">
        <v>20</v>
      </c>
      <c r="C7" s="5" t="s">
        <v>14</v>
      </c>
      <c r="D7" s="6" t="n">
        <f aca="false">Okta!D100</f>
        <v>1</v>
      </c>
      <c r="E7" s="5" t="str">
        <f aca="false">Okta!D101</f>
        <v>Low Risk</v>
      </c>
      <c r="F7" s="5"/>
      <c r="G7" s="5"/>
      <c r="H7" s="5"/>
      <c r="I7" s="5" t="s">
        <v>15</v>
      </c>
      <c r="J7" s="5" t="s">
        <v>16</v>
      </c>
    </row>
    <row r="8" customFormat="false" ht="15" hidden="false" customHeight="true" outlineLevel="0" collapsed="false">
      <c r="A8" s="5" t="s">
        <v>21</v>
      </c>
      <c r="B8" s="5" t="s">
        <v>22</v>
      </c>
      <c r="C8" s="5" t="s">
        <v>23</v>
      </c>
      <c r="D8" s="6" t="n">
        <f aca="false">'KYC Vendor'!D100</f>
        <v>0.752604166666667</v>
      </c>
      <c r="E8" s="5" t="str">
        <f aca="false">'KYC Vendor'!D101</f>
        <v>Medium Risk</v>
      </c>
      <c r="F8" s="5"/>
      <c r="G8" s="5"/>
      <c r="H8" s="5"/>
      <c r="I8" s="5" t="s">
        <v>15</v>
      </c>
      <c r="J8" s="5" t="s">
        <v>16</v>
      </c>
    </row>
    <row r="9" customFormat="false" ht="15" hidden="false" customHeight="true" outlineLevel="0" collapsed="false">
      <c r="A9" s="5" t="s">
        <v>24</v>
      </c>
      <c r="B9" s="5" t="s">
        <v>25</v>
      </c>
      <c r="C9" s="5" t="s">
        <v>23</v>
      </c>
      <c r="D9" s="6" t="n">
        <f aca="false">'Support Contractor A'!D100</f>
        <v>0.302083333333333</v>
      </c>
      <c r="E9" s="5" t="str">
        <f aca="false">'Support Contractor A'!D101</f>
        <v>Critical Risk</v>
      </c>
      <c r="F9" s="5"/>
      <c r="G9" s="5"/>
      <c r="H9" s="5"/>
      <c r="I9" s="5" t="s">
        <v>15</v>
      </c>
      <c r="J9" s="5" t="s">
        <v>16</v>
      </c>
    </row>
    <row r="10" customFormat="false" ht="15" hidden="false" customHeight="true" outlineLevel="0" collapsed="false">
      <c r="A10" s="5" t="s">
        <v>26</v>
      </c>
      <c r="B10" s="5" t="s">
        <v>25</v>
      </c>
      <c r="C10" s="5" t="s">
        <v>23</v>
      </c>
      <c r="D10" s="6" t="n">
        <f aca="false">'Support Contractor B'!D100</f>
        <v>0.246527777777778</v>
      </c>
      <c r="E10" s="5" t="str">
        <f aca="false">'Support Contractor B'!D101</f>
        <v>Critical Risk</v>
      </c>
      <c r="F10" s="5"/>
      <c r="G10" s="5"/>
      <c r="H10" s="5"/>
      <c r="I10" s="5" t="s">
        <v>15</v>
      </c>
      <c r="J10" s="5" t="s">
        <v>16</v>
      </c>
    </row>
    <row r="11" customFormat="false" ht="15" hidden="false" customHeight="true" outlineLevel="0" collapsed="false">
      <c r="A11" s="5" t="s">
        <v>27</v>
      </c>
      <c r="B11" s="5" t="s">
        <v>28</v>
      </c>
      <c r="C11" s="5" t="s">
        <v>23</v>
      </c>
      <c r="D11" s="6" t="n">
        <f aca="false">'HRIS - Payroll Vendo'!D100</f>
        <v>0.750868055555556</v>
      </c>
      <c r="E11" s="5" t="str">
        <f aca="false">'HRIS - Payroll Vendo'!D101</f>
        <v>Medium Risk</v>
      </c>
      <c r="F11" s="5"/>
      <c r="G11" s="5"/>
      <c r="H11" s="5"/>
      <c r="I11" s="5" t="s">
        <v>15</v>
      </c>
      <c r="J11" s="5" t="s">
        <v>16</v>
      </c>
    </row>
  </sheetData>
  <conditionalFormatting sqref="E5:E11">
    <cfRule type="cellIs" priority="2" operator="equal" aboveAverage="0" equalAverage="0" bottom="0" percent="0" rank="0" text="" dxfId="0">
      <formula>"Critical Risk"</formula>
    </cfRule>
    <cfRule type="cellIs" priority="3" operator="equal" aboveAverage="0" equalAverage="0" bottom="0" percent="0" rank="0" text="" dxfId="1">
      <formula>"High Risk"</formula>
    </cfRule>
    <cfRule type="cellIs" priority="4" operator="equal" aboveAverage="0" equalAverage="0" bottom="0" percent="0" rank="0" text="" dxfId="2">
      <formula>"Medium Risk"</formula>
    </cfRule>
    <cfRule type="cellIs" priority="5" operator="equal" aboveAverage="0" equalAverage="0" bottom="0" percent="0" rank="0" text="" dxfId="3">
      <formula>"Low Risk"</formula>
    </cfRule>
  </conditionalFormatting>
  <conditionalFormatting sqref="D5:D11">
    <cfRule type="cellIs" priority="6" operator="greaterThanOrEqual" aboveAverage="0" equalAverage="0" bottom="0" percent="0" rank="0" text="" dxfId="3">
      <formula>0.85</formula>
    </cfRule>
    <cfRule type="cellIs" priority="7" operator="between" aboveAverage="0" equalAverage="0" bottom="0" percent="0" rank="0" text="" dxfId="2">
      <formula>0.65</formula>
      <formula>0.849</formula>
    </cfRule>
    <cfRule type="cellIs" priority="8" operator="between" aboveAverage="0" equalAverage="0" bottom="0" percent="0" rank="0" text="" dxfId="1">
      <formula>0.45</formula>
      <formula>0.649</formula>
    </cfRule>
    <cfRule type="cellIs" priority="9" operator="lessThan" aboveAverage="0" equalAverage="0" bottom="0" percent="0" rank="0" text="" dxfId="0">
      <formula>0.45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2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38"/>
  </cols>
  <sheetData>
    <row r="1" customFormat="false" ht="17.25" hidden="false" customHeight="true" outlineLevel="0" collapsed="false">
      <c r="A1" s="2" t="s">
        <v>29</v>
      </c>
    </row>
    <row r="2" customFormat="false" ht="15" hidden="false" customHeight="true" outlineLevel="0" collapsed="false">
      <c r="A2" s="3" t="s">
        <v>30</v>
      </c>
    </row>
    <row r="4" customFormat="false" ht="15" hidden="false" customHeight="true" outlineLevel="0" collapsed="false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</row>
    <row r="5" customFormat="false" ht="15" hidden="false" customHeight="true" outlineLevel="0" collapsed="false">
      <c r="A5" s="7" t="s">
        <v>36</v>
      </c>
      <c r="B5" s="7"/>
      <c r="C5" s="7"/>
      <c r="D5" s="7"/>
      <c r="E5" s="7"/>
    </row>
    <row r="6" customFormat="false" ht="30" hidden="false" customHeight="true" outlineLevel="0" collapsed="false">
      <c r="A6" s="5" t="n">
        <v>1</v>
      </c>
      <c r="B6" s="8" t="s">
        <v>37</v>
      </c>
      <c r="C6" s="5" t="s">
        <v>38</v>
      </c>
      <c r="D6" s="5" t="n">
        <f aca="false">_xlfn.IFS(C6="Yes",1,C6="Partial",0.5,C6="N/A","N/A",C6="No",0)</f>
        <v>1</v>
      </c>
      <c r="E6" s="8" t="s">
        <v>39</v>
      </c>
    </row>
    <row r="7" customFormat="false" ht="30" hidden="false" customHeight="true" outlineLevel="0" collapsed="false">
      <c r="A7" s="5" t="n">
        <v>2</v>
      </c>
      <c r="B7" s="8" t="s">
        <v>40</v>
      </c>
      <c r="C7" s="5" t="s">
        <v>38</v>
      </c>
      <c r="D7" s="5" t="n">
        <f aca="false">_xlfn.IFS(C7="Yes",1,C7="Partial",0.5,C7="N/A","N/A",C7="No",0)</f>
        <v>1</v>
      </c>
      <c r="E7" s="8" t="s">
        <v>39</v>
      </c>
    </row>
    <row r="8" customFormat="false" ht="30" hidden="false" customHeight="true" outlineLevel="0" collapsed="false">
      <c r="A8" s="5" t="n">
        <v>3</v>
      </c>
      <c r="B8" s="8" t="s">
        <v>41</v>
      </c>
      <c r="C8" s="5" t="s">
        <v>38</v>
      </c>
      <c r="D8" s="5" t="n">
        <f aca="false">_xlfn.IFS(C8="Yes",1,C8="Partial",0.5,C8="N/A","N/A",C8="No",0)</f>
        <v>1</v>
      </c>
      <c r="E8" s="8" t="s">
        <v>39</v>
      </c>
    </row>
    <row r="9" customFormat="false" ht="30" hidden="false" customHeight="true" outlineLevel="0" collapsed="false">
      <c r="A9" s="5" t="n">
        <v>4</v>
      </c>
      <c r="B9" s="8" t="s">
        <v>42</v>
      </c>
      <c r="C9" s="5" t="s">
        <v>38</v>
      </c>
      <c r="D9" s="5" t="n">
        <f aca="false">_xlfn.IFS(C9="Yes",1,C9="Partial",0.5,C9="N/A","N/A",C9="No",0)</f>
        <v>1</v>
      </c>
      <c r="E9" s="8" t="s">
        <v>39</v>
      </c>
    </row>
    <row r="10" customFormat="false" ht="30" hidden="false" customHeight="true" outlineLevel="0" collapsed="false">
      <c r="A10" s="5" t="n">
        <v>5</v>
      </c>
      <c r="B10" s="8" t="s">
        <v>43</v>
      </c>
      <c r="C10" s="5" t="s">
        <v>38</v>
      </c>
      <c r="D10" s="5" t="n">
        <f aca="false">_xlfn.IFS(C10="Yes",1,C10="Partial",0.5,C10="N/A","N/A",C10="No",0)</f>
        <v>1</v>
      </c>
      <c r="E10" s="8" t="s">
        <v>39</v>
      </c>
    </row>
    <row r="11" customFormat="false" ht="30" hidden="false" customHeight="true" outlineLevel="0" collapsed="false">
      <c r="A11" s="5" t="n">
        <v>6</v>
      </c>
      <c r="B11" s="8" t="s">
        <v>44</v>
      </c>
      <c r="C11" s="5" t="s">
        <v>38</v>
      </c>
      <c r="D11" s="5" t="n">
        <f aca="false">_xlfn.IFS(C11="Yes",1,C11="Partial",0.5,C11="N/A","N/A",C11="No",0)</f>
        <v>1</v>
      </c>
      <c r="E11" s="8" t="s">
        <v>39</v>
      </c>
    </row>
    <row r="12" customFormat="false" ht="30" hidden="false" customHeight="true" outlineLevel="0" collapsed="false">
      <c r="A12" s="5" t="n">
        <v>7</v>
      </c>
      <c r="B12" s="8" t="s">
        <v>45</v>
      </c>
      <c r="C12" s="5" t="s">
        <v>38</v>
      </c>
      <c r="D12" s="5" t="n">
        <f aca="false">_xlfn.IFS(C12="Yes",1,C12="Partial",0.5,C12="N/A","N/A",C12="No",0)</f>
        <v>1</v>
      </c>
      <c r="E12" s="8" t="s">
        <v>39</v>
      </c>
    </row>
    <row r="13" customFormat="false" ht="30" hidden="false" customHeight="true" outlineLevel="0" collapsed="false">
      <c r="A13" s="5" t="n">
        <v>8</v>
      </c>
      <c r="B13" s="8" t="s">
        <v>46</v>
      </c>
      <c r="C13" s="5" t="s">
        <v>38</v>
      </c>
      <c r="D13" s="5" t="n">
        <f aca="false">_xlfn.IFS(C13="Yes",1,C13="Partial",0.5,C13="N/A","N/A",C13="No",0)</f>
        <v>1</v>
      </c>
      <c r="E13" s="8" t="s">
        <v>39</v>
      </c>
    </row>
    <row r="14" customFormat="false" ht="30" hidden="false" customHeight="true" outlineLevel="0" collapsed="false">
      <c r="A14" s="5" t="n">
        <v>9</v>
      </c>
      <c r="B14" s="8" t="s">
        <v>47</v>
      </c>
      <c r="C14" s="5" t="s">
        <v>38</v>
      </c>
      <c r="D14" s="5" t="n">
        <f aca="false">_xlfn.IFS(C14="Yes",1,C14="Partial",0.5,C14="N/A","N/A",C14="No",0)</f>
        <v>1</v>
      </c>
      <c r="E14" s="8" t="s">
        <v>39</v>
      </c>
    </row>
    <row r="15" customFormat="false" ht="15" hidden="false" customHeight="true" outlineLevel="0" collapsed="false">
      <c r="A15" s="9"/>
      <c r="B15" s="10" t="s">
        <v>48</v>
      </c>
      <c r="C15" s="10"/>
      <c r="D15" s="11" t="n">
        <f aca="false">IFERROR(AVERAGEIF(D6:D14,"&lt;&gt;N/A",D6:D14),0)</f>
        <v>1</v>
      </c>
      <c r="E15" s="9"/>
    </row>
    <row r="17" customFormat="false" ht="15" hidden="false" customHeight="true" outlineLevel="0" collapsed="false">
      <c r="A17" s="7" t="s">
        <v>49</v>
      </c>
      <c r="B17" s="7"/>
      <c r="C17" s="7"/>
      <c r="D17" s="7"/>
      <c r="E17" s="7"/>
    </row>
    <row r="18" customFormat="false" ht="30" hidden="false" customHeight="true" outlineLevel="0" collapsed="false">
      <c r="A18" s="5" t="n">
        <v>10</v>
      </c>
      <c r="B18" s="8" t="s">
        <v>50</v>
      </c>
      <c r="C18" s="5" t="s">
        <v>38</v>
      </c>
      <c r="D18" s="5" t="n">
        <f aca="false">_xlfn.IFS(C18="Yes",1,C18="Partial",0.5,C18="N/A","N/A",C18="No",0)</f>
        <v>1</v>
      </c>
      <c r="E18" s="8" t="s">
        <v>39</v>
      </c>
    </row>
    <row r="19" customFormat="false" ht="30" hidden="false" customHeight="true" outlineLevel="0" collapsed="false">
      <c r="A19" s="5" t="n">
        <v>11</v>
      </c>
      <c r="B19" s="8" t="s">
        <v>51</v>
      </c>
      <c r="C19" s="5" t="s">
        <v>38</v>
      </c>
      <c r="D19" s="5" t="n">
        <f aca="false">_xlfn.IFS(C19="Yes",1,C19="Partial",0.5,C19="N/A","N/A",C19="No",0)</f>
        <v>1</v>
      </c>
      <c r="E19" s="8" t="s">
        <v>39</v>
      </c>
    </row>
    <row r="20" customFormat="false" ht="30" hidden="false" customHeight="true" outlineLevel="0" collapsed="false">
      <c r="A20" s="5" t="n">
        <v>12</v>
      </c>
      <c r="B20" s="8" t="s">
        <v>52</v>
      </c>
      <c r="C20" s="5" t="s">
        <v>38</v>
      </c>
      <c r="D20" s="5" t="n">
        <f aca="false">_xlfn.IFS(C20="Yes",1,C20="Partial",0.5,C20="N/A","N/A",C20="No",0)</f>
        <v>1</v>
      </c>
      <c r="E20" s="8" t="s">
        <v>39</v>
      </c>
    </row>
    <row r="21" customFormat="false" ht="30" hidden="false" customHeight="true" outlineLevel="0" collapsed="false">
      <c r="A21" s="5" t="n">
        <v>13</v>
      </c>
      <c r="B21" s="8" t="s">
        <v>53</v>
      </c>
      <c r="C21" s="5" t="s">
        <v>38</v>
      </c>
      <c r="D21" s="5" t="n">
        <f aca="false">_xlfn.IFS(C21="Yes",1,C21="Partial",0.5,C21="N/A","N/A",C21="No",0)</f>
        <v>1</v>
      </c>
      <c r="E21" s="8" t="s">
        <v>39</v>
      </c>
    </row>
    <row r="22" customFormat="false" ht="30" hidden="false" customHeight="true" outlineLevel="0" collapsed="false">
      <c r="A22" s="5" t="n">
        <v>14</v>
      </c>
      <c r="B22" s="8" t="s">
        <v>54</v>
      </c>
      <c r="C22" s="5" t="s">
        <v>38</v>
      </c>
      <c r="D22" s="5" t="n">
        <f aca="false">_xlfn.IFS(C22="Yes",1,C22="Partial",0.5,C22="N/A","N/A",C22="No",0)</f>
        <v>1</v>
      </c>
      <c r="E22" s="8" t="s">
        <v>39</v>
      </c>
    </row>
    <row r="23" customFormat="false" ht="30" hidden="false" customHeight="true" outlineLevel="0" collapsed="false">
      <c r="A23" s="5" t="n">
        <v>15</v>
      </c>
      <c r="B23" s="8" t="s">
        <v>55</v>
      </c>
      <c r="C23" s="5" t="s">
        <v>38</v>
      </c>
      <c r="D23" s="5" t="n">
        <f aca="false">_xlfn.IFS(C23="Yes",1,C23="Partial",0.5,C23="N/A","N/A",C23="No",0)</f>
        <v>1</v>
      </c>
      <c r="E23" s="8" t="s">
        <v>39</v>
      </c>
    </row>
    <row r="24" customFormat="false" ht="30" hidden="false" customHeight="true" outlineLevel="0" collapsed="false">
      <c r="A24" s="5" t="n">
        <v>16</v>
      </c>
      <c r="B24" s="8" t="s">
        <v>56</v>
      </c>
      <c r="C24" s="5" t="s">
        <v>38</v>
      </c>
      <c r="D24" s="5" t="n">
        <f aca="false">_xlfn.IFS(C24="Yes",1,C24="Partial",0.5,C24="N/A","N/A",C24="No",0)</f>
        <v>1</v>
      </c>
      <c r="E24" s="8" t="s">
        <v>39</v>
      </c>
    </row>
    <row r="25" customFormat="false" ht="30" hidden="false" customHeight="true" outlineLevel="0" collapsed="false">
      <c r="A25" s="5" t="n">
        <v>17</v>
      </c>
      <c r="B25" s="8" t="s">
        <v>57</v>
      </c>
      <c r="C25" s="5" t="s">
        <v>38</v>
      </c>
      <c r="D25" s="5" t="n">
        <f aca="false">_xlfn.IFS(C25="Yes",1,C25="Partial",0.5,C25="N/A","N/A",C25="No",0)</f>
        <v>1</v>
      </c>
      <c r="E25" s="8" t="s">
        <v>39</v>
      </c>
    </row>
    <row r="26" customFormat="false" ht="30" hidden="false" customHeight="true" outlineLevel="0" collapsed="false">
      <c r="A26" s="5" t="n">
        <v>18</v>
      </c>
      <c r="B26" s="8" t="s">
        <v>58</v>
      </c>
      <c r="C26" s="5" t="s">
        <v>38</v>
      </c>
      <c r="D26" s="5" t="n">
        <f aca="false">_xlfn.IFS(C26="Yes",1,C26="Partial",0.5,C26="N/A","N/A",C26="No",0)</f>
        <v>1</v>
      </c>
      <c r="E26" s="8" t="s">
        <v>39</v>
      </c>
    </row>
    <row r="27" customFormat="false" ht="15" hidden="false" customHeight="true" outlineLevel="0" collapsed="false">
      <c r="A27" s="9"/>
      <c r="B27" s="10" t="s">
        <v>59</v>
      </c>
      <c r="C27" s="10"/>
      <c r="D27" s="11" t="n">
        <f aca="false">IFERROR(AVERAGEIF(D18:D26,"&lt;&gt;N/A",D18:D26),0)</f>
        <v>1</v>
      </c>
      <c r="E27" s="9"/>
    </row>
    <row r="29" customFormat="false" ht="15" hidden="false" customHeight="true" outlineLevel="0" collapsed="false">
      <c r="A29" s="7" t="s">
        <v>60</v>
      </c>
      <c r="B29" s="7"/>
      <c r="C29" s="7"/>
      <c r="D29" s="7"/>
      <c r="E29" s="7"/>
    </row>
    <row r="30" customFormat="false" ht="30" hidden="false" customHeight="true" outlineLevel="0" collapsed="false">
      <c r="A30" s="5" t="n">
        <v>19</v>
      </c>
      <c r="B30" s="8" t="s">
        <v>61</v>
      </c>
      <c r="C30" s="5" t="s">
        <v>38</v>
      </c>
      <c r="D30" s="5" t="n">
        <f aca="false">_xlfn.IFS(C30="Yes",1,C30="Partial",0.5,C30="N/A","N/A",C30="No",0)</f>
        <v>1</v>
      </c>
      <c r="E30" s="8" t="s">
        <v>39</v>
      </c>
    </row>
    <row r="31" customFormat="false" ht="30" hidden="false" customHeight="true" outlineLevel="0" collapsed="false">
      <c r="A31" s="5" t="n">
        <v>20</v>
      </c>
      <c r="B31" s="8" t="s">
        <v>62</v>
      </c>
      <c r="C31" s="5" t="s">
        <v>38</v>
      </c>
      <c r="D31" s="5" t="n">
        <f aca="false">_xlfn.IFS(C31="Yes",1,C31="Partial",0.5,C31="N/A","N/A",C31="No",0)</f>
        <v>1</v>
      </c>
      <c r="E31" s="8" t="s">
        <v>39</v>
      </c>
    </row>
    <row r="32" customFormat="false" ht="30" hidden="false" customHeight="true" outlineLevel="0" collapsed="false">
      <c r="A32" s="5" t="n">
        <v>21</v>
      </c>
      <c r="B32" s="8" t="s">
        <v>63</v>
      </c>
      <c r="C32" s="5" t="s">
        <v>38</v>
      </c>
      <c r="D32" s="5" t="n">
        <f aca="false">_xlfn.IFS(C32="Yes",1,C32="Partial",0.5,C32="N/A","N/A",C32="No",0)</f>
        <v>1</v>
      </c>
      <c r="E32" s="8" t="s">
        <v>39</v>
      </c>
    </row>
    <row r="33" customFormat="false" ht="30" hidden="false" customHeight="true" outlineLevel="0" collapsed="false">
      <c r="A33" s="5" t="n">
        <v>22</v>
      </c>
      <c r="B33" s="8" t="s">
        <v>64</v>
      </c>
      <c r="C33" s="5" t="s">
        <v>38</v>
      </c>
      <c r="D33" s="5" t="n">
        <f aca="false">_xlfn.IFS(C33="Yes",1,C33="Partial",0.5,C33="N/A","N/A",C33="No",0)</f>
        <v>1</v>
      </c>
      <c r="E33" s="8" t="s">
        <v>39</v>
      </c>
    </row>
    <row r="34" customFormat="false" ht="30" hidden="false" customHeight="true" outlineLevel="0" collapsed="false">
      <c r="A34" s="5" t="n">
        <v>23</v>
      </c>
      <c r="B34" s="8" t="s">
        <v>65</v>
      </c>
      <c r="C34" s="5" t="s">
        <v>38</v>
      </c>
      <c r="D34" s="5" t="n">
        <f aca="false">_xlfn.IFS(C34="Yes",1,C34="Partial",0.5,C34="N/A","N/A",C34="No",0)</f>
        <v>1</v>
      </c>
      <c r="E34" s="8" t="s">
        <v>39</v>
      </c>
    </row>
    <row r="35" customFormat="false" ht="30" hidden="false" customHeight="true" outlineLevel="0" collapsed="false">
      <c r="A35" s="5" t="n">
        <v>24</v>
      </c>
      <c r="B35" s="8" t="s">
        <v>66</v>
      </c>
      <c r="C35" s="5" t="s">
        <v>38</v>
      </c>
      <c r="D35" s="5" t="n">
        <f aca="false">_xlfn.IFS(C35="Yes",1,C35="Partial",0.5,C35="N/A","N/A",C35="No",0)</f>
        <v>1</v>
      </c>
      <c r="E35" s="8" t="s">
        <v>39</v>
      </c>
    </row>
    <row r="36" customFormat="false" ht="30" hidden="false" customHeight="true" outlineLevel="0" collapsed="false">
      <c r="A36" s="5" t="n">
        <v>25</v>
      </c>
      <c r="B36" s="8" t="s">
        <v>67</v>
      </c>
      <c r="C36" s="5" t="s">
        <v>38</v>
      </c>
      <c r="D36" s="5" t="n">
        <f aca="false">_xlfn.IFS(C36="Yes",1,C36="Partial",0.5,C36="N/A","N/A",C36="No",0)</f>
        <v>1</v>
      </c>
      <c r="E36" s="8" t="s">
        <v>39</v>
      </c>
    </row>
    <row r="37" customFormat="false" ht="30" hidden="false" customHeight="true" outlineLevel="0" collapsed="false">
      <c r="A37" s="5" t="n">
        <v>26</v>
      </c>
      <c r="B37" s="8" t="s">
        <v>68</v>
      </c>
      <c r="C37" s="5" t="s">
        <v>38</v>
      </c>
      <c r="D37" s="5" t="n">
        <f aca="false">_xlfn.IFS(C37="Yes",1,C37="Partial",0.5,C37="N/A","N/A",C37="No",0)</f>
        <v>1</v>
      </c>
      <c r="E37" s="8" t="s">
        <v>39</v>
      </c>
    </row>
    <row r="38" customFormat="false" ht="30" hidden="false" customHeight="true" outlineLevel="0" collapsed="false">
      <c r="A38" s="5" t="n">
        <v>27</v>
      </c>
      <c r="B38" s="8" t="s">
        <v>69</v>
      </c>
      <c r="C38" s="5" t="s">
        <v>38</v>
      </c>
      <c r="D38" s="5" t="n">
        <f aca="false">_xlfn.IFS(C38="Yes",1,C38="Partial",0.5,C38="N/A","N/A",C38="No",0)</f>
        <v>1</v>
      </c>
      <c r="E38" s="8" t="s">
        <v>39</v>
      </c>
    </row>
    <row r="39" customFormat="false" ht="15" hidden="false" customHeight="true" outlineLevel="0" collapsed="false">
      <c r="A39" s="9"/>
      <c r="B39" s="10" t="s">
        <v>70</v>
      </c>
      <c r="C39" s="10"/>
      <c r="D39" s="11" t="n">
        <f aca="false">IFERROR(AVERAGEIF(D30:D38,"&lt;&gt;N/A",D30:D38),0)</f>
        <v>1</v>
      </c>
      <c r="E39" s="9"/>
    </row>
    <row r="41" customFormat="false" ht="15" hidden="false" customHeight="true" outlineLevel="0" collapsed="false">
      <c r="A41" s="7" t="s">
        <v>71</v>
      </c>
      <c r="B41" s="7"/>
      <c r="C41" s="7"/>
      <c r="D41" s="7"/>
      <c r="E41" s="7"/>
    </row>
    <row r="42" customFormat="false" ht="30" hidden="false" customHeight="true" outlineLevel="0" collapsed="false">
      <c r="A42" s="5" t="n">
        <v>28</v>
      </c>
      <c r="B42" s="8" t="s">
        <v>72</v>
      </c>
      <c r="C42" s="5" t="s">
        <v>38</v>
      </c>
      <c r="D42" s="5" t="n">
        <f aca="false">_xlfn.IFS(C42="Yes",1,C42="Partial",0.5,C42="N/A","N/A",C42="No",0)</f>
        <v>1</v>
      </c>
      <c r="E42" s="8" t="s">
        <v>39</v>
      </c>
    </row>
    <row r="43" customFormat="false" ht="30" hidden="false" customHeight="true" outlineLevel="0" collapsed="false">
      <c r="A43" s="5" t="n">
        <v>29</v>
      </c>
      <c r="B43" s="8" t="s">
        <v>73</v>
      </c>
      <c r="C43" s="5" t="s">
        <v>38</v>
      </c>
      <c r="D43" s="5" t="n">
        <f aca="false">_xlfn.IFS(C43="Yes",1,C43="Partial",0.5,C43="N/A","N/A",C43="No",0)</f>
        <v>1</v>
      </c>
      <c r="E43" s="8" t="s">
        <v>39</v>
      </c>
    </row>
    <row r="44" customFormat="false" ht="30" hidden="false" customHeight="true" outlineLevel="0" collapsed="false">
      <c r="A44" s="5" t="n">
        <v>30</v>
      </c>
      <c r="B44" s="8" t="s">
        <v>74</v>
      </c>
      <c r="C44" s="5" t="s">
        <v>38</v>
      </c>
      <c r="D44" s="5" t="n">
        <f aca="false">_xlfn.IFS(C44="Yes",1,C44="Partial",0.5,C44="N/A","N/A",C44="No",0)</f>
        <v>1</v>
      </c>
      <c r="E44" s="8" t="s">
        <v>39</v>
      </c>
    </row>
    <row r="45" customFormat="false" ht="30" hidden="false" customHeight="true" outlineLevel="0" collapsed="false">
      <c r="A45" s="5" t="n">
        <v>31</v>
      </c>
      <c r="B45" s="8" t="s">
        <v>75</v>
      </c>
      <c r="C45" s="5" t="s">
        <v>38</v>
      </c>
      <c r="D45" s="5" t="n">
        <f aca="false">_xlfn.IFS(C45="Yes",1,C45="Partial",0.5,C45="N/A","N/A",C45="No",0)</f>
        <v>1</v>
      </c>
      <c r="E45" s="8" t="s">
        <v>39</v>
      </c>
    </row>
    <row r="46" customFormat="false" ht="30" hidden="false" customHeight="true" outlineLevel="0" collapsed="false">
      <c r="A46" s="5" t="n">
        <v>32</v>
      </c>
      <c r="B46" s="8" t="s">
        <v>76</v>
      </c>
      <c r="C46" s="5" t="s">
        <v>38</v>
      </c>
      <c r="D46" s="5" t="n">
        <f aca="false">_xlfn.IFS(C46="Yes",1,C46="Partial",0.5,C46="N/A","N/A",C46="No",0)</f>
        <v>1</v>
      </c>
      <c r="E46" s="8" t="s">
        <v>39</v>
      </c>
    </row>
    <row r="47" customFormat="false" ht="30" hidden="false" customHeight="true" outlineLevel="0" collapsed="false">
      <c r="A47" s="5" t="n">
        <v>33</v>
      </c>
      <c r="B47" s="8" t="s">
        <v>77</v>
      </c>
      <c r="C47" s="5" t="s">
        <v>38</v>
      </c>
      <c r="D47" s="5" t="n">
        <f aca="false">_xlfn.IFS(C47="Yes",1,C47="Partial",0.5,C47="N/A","N/A",C47="No",0)</f>
        <v>1</v>
      </c>
      <c r="E47" s="8" t="s">
        <v>39</v>
      </c>
    </row>
    <row r="48" customFormat="false" ht="30" hidden="false" customHeight="true" outlineLevel="0" collapsed="false">
      <c r="A48" s="5" t="n">
        <v>34</v>
      </c>
      <c r="B48" s="8" t="s">
        <v>78</v>
      </c>
      <c r="C48" s="5" t="s">
        <v>38</v>
      </c>
      <c r="D48" s="5" t="n">
        <f aca="false">_xlfn.IFS(C48="Yes",1,C48="Partial",0.5,C48="N/A","N/A",C48="No",0)</f>
        <v>1</v>
      </c>
      <c r="E48" s="8" t="s">
        <v>39</v>
      </c>
    </row>
    <row r="49" customFormat="false" ht="30" hidden="false" customHeight="true" outlineLevel="0" collapsed="false">
      <c r="A49" s="5" t="n">
        <v>35</v>
      </c>
      <c r="B49" s="8" t="s">
        <v>79</v>
      </c>
      <c r="C49" s="5" t="s">
        <v>38</v>
      </c>
      <c r="D49" s="5" t="n">
        <f aca="false">_xlfn.IFS(C49="Yes",1,C49="Partial",0.5,C49="N/A","N/A",C49="No",0)</f>
        <v>1</v>
      </c>
      <c r="E49" s="8" t="s">
        <v>39</v>
      </c>
    </row>
    <row r="50" customFormat="false" ht="30" hidden="false" customHeight="true" outlineLevel="0" collapsed="false">
      <c r="A50" s="5" t="n">
        <v>36</v>
      </c>
      <c r="B50" s="8" t="s">
        <v>80</v>
      </c>
      <c r="C50" s="5" t="s">
        <v>38</v>
      </c>
      <c r="D50" s="5" t="n">
        <f aca="false">_xlfn.IFS(C50="Yes",1,C50="Partial",0.5,C50="N/A","N/A",C50="No",0)</f>
        <v>1</v>
      </c>
      <c r="E50" s="8" t="s">
        <v>39</v>
      </c>
    </row>
    <row r="51" customFormat="false" ht="15" hidden="false" customHeight="true" outlineLevel="0" collapsed="false">
      <c r="A51" s="9"/>
      <c r="B51" s="10" t="s">
        <v>81</v>
      </c>
      <c r="C51" s="10"/>
      <c r="D51" s="11" t="n">
        <f aca="false">IFERROR(AVERAGEIF(D42:D50,"&lt;&gt;N/A",D42:D50),0)</f>
        <v>1</v>
      </c>
      <c r="E51" s="9"/>
    </row>
    <row r="53" customFormat="false" ht="15" hidden="false" customHeight="true" outlineLevel="0" collapsed="false">
      <c r="A53" s="7" t="s">
        <v>82</v>
      </c>
      <c r="B53" s="7"/>
      <c r="C53" s="7"/>
      <c r="D53" s="7"/>
      <c r="E53" s="7"/>
    </row>
    <row r="54" customFormat="false" ht="30" hidden="false" customHeight="true" outlineLevel="0" collapsed="false">
      <c r="A54" s="5" t="n">
        <v>37</v>
      </c>
      <c r="B54" s="8" t="s">
        <v>83</v>
      </c>
      <c r="C54" s="5" t="s">
        <v>38</v>
      </c>
      <c r="D54" s="5" t="n">
        <f aca="false">_xlfn.IFS(C54="Yes",1,C54="Partial",0.5,C54="N/A","N/A",C54="No",0)</f>
        <v>1</v>
      </c>
      <c r="E54" s="8" t="s">
        <v>39</v>
      </c>
    </row>
    <row r="55" customFormat="false" ht="30" hidden="false" customHeight="true" outlineLevel="0" collapsed="false">
      <c r="A55" s="5" t="n">
        <v>38</v>
      </c>
      <c r="B55" s="8" t="s">
        <v>84</v>
      </c>
      <c r="C55" s="5" t="s">
        <v>38</v>
      </c>
      <c r="D55" s="5" t="n">
        <f aca="false">_xlfn.IFS(C55="Yes",1,C55="Partial",0.5,C55="N/A","N/A",C55="No",0)</f>
        <v>1</v>
      </c>
      <c r="E55" s="8" t="s">
        <v>39</v>
      </c>
    </row>
    <row r="56" customFormat="false" ht="30" hidden="false" customHeight="true" outlineLevel="0" collapsed="false">
      <c r="A56" s="5" t="n">
        <v>39</v>
      </c>
      <c r="B56" s="8" t="s">
        <v>85</v>
      </c>
      <c r="C56" s="5" t="s">
        <v>38</v>
      </c>
      <c r="D56" s="5" t="n">
        <f aca="false">_xlfn.IFS(C56="Yes",1,C56="Partial",0.5,C56="N/A","N/A",C56="No",0)</f>
        <v>1</v>
      </c>
      <c r="E56" s="8" t="s">
        <v>39</v>
      </c>
    </row>
    <row r="57" customFormat="false" ht="30" hidden="false" customHeight="true" outlineLevel="0" collapsed="false">
      <c r="A57" s="5" t="n">
        <v>40</v>
      </c>
      <c r="B57" s="8" t="s">
        <v>86</v>
      </c>
      <c r="C57" s="5" t="s">
        <v>38</v>
      </c>
      <c r="D57" s="5" t="n">
        <f aca="false">_xlfn.IFS(C57="Yes",1,C57="Partial",0.5,C57="N/A","N/A",C57="No",0)</f>
        <v>1</v>
      </c>
      <c r="E57" s="8" t="s">
        <v>39</v>
      </c>
    </row>
    <row r="58" customFormat="false" ht="30" hidden="false" customHeight="true" outlineLevel="0" collapsed="false">
      <c r="A58" s="5" t="n">
        <v>41</v>
      </c>
      <c r="B58" s="8" t="s">
        <v>87</v>
      </c>
      <c r="C58" s="5" t="s">
        <v>38</v>
      </c>
      <c r="D58" s="5" t="n">
        <f aca="false">_xlfn.IFS(C58="Yes",1,C58="Partial",0.5,C58="N/A","N/A",C58="No",0)</f>
        <v>1</v>
      </c>
      <c r="E58" s="8" t="s">
        <v>39</v>
      </c>
    </row>
    <row r="59" customFormat="false" ht="30" hidden="false" customHeight="true" outlineLevel="0" collapsed="false">
      <c r="A59" s="5" t="n">
        <v>42</v>
      </c>
      <c r="B59" s="8" t="s">
        <v>88</v>
      </c>
      <c r="C59" s="5" t="s">
        <v>38</v>
      </c>
      <c r="D59" s="5" t="n">
        <f aca="false">_xlfn.IFS(C59="Yes",1,C59="Partial",0.5,C59="N/A","N/A",C59="No",0)</f>
        <v>1</v>
      </c>
      <c r="E59" s="8" t="s">
        <v>39</v>
      </c>
    </row>
    <row r="60" customFormat="false" ht="30" hidden="false" customHeight="true" outlineLevel="0" collapsed="false">
      <c r="A60" s="5" t="n">
        <v>43</v>
      </c>
      <c r="B60" s="8" t="s">
        <v>89</v>
      </c>
      <c r="C60" s="5" t="s">
        <v>38</v>
      </c>
      <c r="D60" s="5" t="n">
        <f aca="false">_xlfn.IFS(C60="Yes",1,C60="Partial",0.5,C60="N/A","N/A",C60="No",0)</f>
        <v>1</v>
      </c>
      <c r="E60" s="8" t="s">
        <v>39</v>
      </c>
    </row>
    <row r="61" customFormat="false" ht="30" hidden="false" customHeight="true" outlineLevel="0" collapsed="false">
      <c r="A61" s="5" t="n">
        <v>44</v>
      </c>
      <c r="B61" s="8" t="s">
        <v>90</v>
      </c>
      <c r="C61" s="5" t="s">
        <v>38</v>
      </c>
      <c r="D61" s="5" t="n">
        <f aca="false">_xlfn.IFS(C61="Yes",1,C61="Partial",0.5,C61="N/A","N/A",C61="No",0)</f>
        <v>1</v>
      </c>
      <c r="E61" s="8" t="s">
        <v>39</v>
      </c>
    </row>
    <row r="62" customFormat="false" ht="30" hidden="false" customHeight="true" outlineLevel="0" collapsed="false">
      <c r="A62" s="5" t="n">
        <v>45</v>
      </c>
      <c r="B62" s="8" t="s">
        <v>91</v>
      </c>
      <c r="C62" s="5" t="s">
        <v>38</v>
      </c>
      <c r="D62" s="5" t="n">
        <f aca="false">_xlfn.IFS(C62="Yes",1,C62="Partial",0.5,C62="N/A","N/A",C62="No",0)</f>
        <v>1</v>
      </c>
      <c r="E62" s="8" t="s">
        <v>39</v>
      </c>
    </row>
    <row r="63" customFormat="false" ht="15" hidden="false" customHeight="true" outlineLevel="0" collapsed="false">
      <c r="A63" s="9"/>
      <c r="B63" s="10" t="s">
        <v>92</v>
      </c>
      <c r="C63" s="10"/>
      <c r="D63" s="11" t="n">
        <f aca="false">IFERROR(AVERAGEIF(D54:D62,"&lt;&gt;N/A",D54:D62),0)</f>
        <v>1</v>
      </c>
      <c r="E63" s="9"/>
    </row>
    <row r="65" customFormat="false" ht="15" hidden="false" customHeight="true" outlineLevel="0" collapsed="false">
      <c r="A65" s="7" t="s">
        <v>93</v>
      </c>
      <c r="B65" s="7"/>
      <c r="C65" s="7"/>
      <c r="D65" s="7"/>
      <c r="E65" s="7"/>
    </row>
    <row r="66" customFormat="false" ht="30" hidden="false" customHeight="true" outlineLevel="0" collapsed="false">
      <c r="A66" s="5" t="n">
        <v>46</v>
      </c>
      <c r="B66" s="8" t="s">
        <v>94</v>
      </c>
      <c r="C66" s="5" t="s">
        <v>38</v>
      </c>
      <c r="D66" s="5" t="n">
        <f aca="false">_xlfn.IFS(C66="Yes",1,C66="Partial",0.5,C66="N/A","N/A",C66="No",0)</f>
        <v>1</v>
      </c>
      <c r="E66" s="8" t="s">
        <v>39</v>
      </c>
    </row>
    <row r="67" customFormat="false" ht="30" hidden="false" customHeight="true" outlineLevel="0" collapsed="false">
      <c r="A67" s="5" t="n">
        <v>47</v>
      </c>
      <c r="B67" s="8" t="s">
        <v>95</v>
      </c>
      <c r="C67" s="5" t="s">
        <v>38</v>
      </c>
      <c r="D67" s="5" t="n">
        <f aca="false">_xlfn.IFS(C67="Yes",1,C67="Partial",0.5,C67="N/A","N/A",C67="No",0)</f>
        <v>1</v>
      </c>
      <c r="E67" s="8" t="s">
        <v>39</v>
      </c>
    </row>
    <row r="68" customFormat="false" ht="30" hidden="false" customHeight="true" outlineLevel="0" collapsed="false">
      <c r="A68" s="5" t="n">
        <v>48</v>
      </c>
      <c r="B68" s="8" t="s">
        <v>96</v>
      </c>
      <c r="C68" s="5" t="s">
        <v>38</v>
      </c>
      <c r="D68" s="5" t="n">
        <f aca="false">_xlfn.IFS(C68="Yes",1,C68="Partial",0.5,C68="N/A","N/A",C68="No",0)</f>
        <v>1</v>
      </c>
      <c r="E68" s="8" t="s">
        <v>39</v>
      </c>
    </row>
    <row r="69" customFormat="false" ht="30" hidden="false" customHeight="true" outlineLevel="0" collapsed="false">
      <c r="A69" s="5" t="n">
        <v>49</v>
      </c>
      <c r="B69" s="8" t="s">
        <v>97</v>
      </c>
      <c r="C69" s="5" t="s">
        <v>38</v>
      </c>
      <c r="D69" s="5" t="n">
        <f aca="false">_xlfn.IFS(C69="Yes",1,C69="Partial",0.5,C69="N/A","N/A",C69="No",0)</f>
        <v>1</v>
      </c>
      <c r="E69" s="8" t="s">
        <v>39</v>
      </c>
    </row>
    <row r="70" customFormat="false" ht="30" hidden="false" customHeight="true" outlineLevel="0" collapsed="false">
      <c r="A70" s="5" t="n">
        <v>50</v>
      </c>
      <c r="B70" s="8" t="s">
        <v>98</v>
      </c>
      <c r="C70" s="5" t="s">
        <v>38</v>
      </c>
      <c r="D70" s="5" t="n">
        <f aca="false">_xlfn.IFS(C70="Yes",1,C70="Partial",0.5,C70="N/A","N/A",C70="No",0)</f>
        <v>1</v>
      </c>
      <c r="E70" s="8" t="s">
        <v>39</v>
      </c>
    </row>
    <row r="71" customFormat="false" ht="30" hidden="false" customHeight="true" outlineLevel="0" collapsed="false">
      <c r="A71" s="5" t="n">
        <v>51</v>
      </c>
      <c r="B71" s="8" t="s">
        <v>99</v>
      </c>
      <c r="C71" s="5" t="s">
        <v>38</v>
      </c>
      <c r="D71" s="5" t="n">
        <f aca="false">_xlfn.IFS(C71="Yes",1,C71="Partial",0.5,C71="N/A","N/A",C71="No",0)</f>
        <v>1</v>
      </c>
      <c r="E71" s="8" t="s">
        <v>39</v>
      </c>
    </row>
    <row r="72" customFormat="false" ht="30" hidden="false" customHeight="true" outlineLevel="0" collapsed="false">
      <c r="A72" s="5" t="n">
        <v>52</v>
      </c>
      <c r="B72" s="8" t="s">
        <v>100</v>
      </c>
      <c r="C72" s="5" t="s">
        <v>38</v>
      </c>
      <c r="D72" s="5" t="n">
        <f aca="false">_xlfn.IFS(C72="Yes",1,C72="Partial",0.5,C72="N/A","N/A",C72="No",0)</f>
        <v>1</v>
      </c>
      <c r="E72" s="8" t="s">
        <v>39</v>
      </c>
    </row>
    <row r="73" customFormat="false" ht="30" hidden="false" customHeight="true" outlineLevel="0" collapsed="false">
      <c r="A73" s="5" t="n">
        <v>53</v>
      </c>
      <c r="B73" s="8" t="s">
        <v>101</v>
      </c>
      <c r="C73" s="5" t="s">
        <v>38</v>
      </c>
      <c r="D73" s="5" t="n">
        <f aca="false">_xlfn.IFS(C73="Yes",1,C73="Partial",0.5,C73="N/A","N/A",C73="No",0)</f>
        <v>1</v>
      </c>
      <c r="E73" s="8" t="s">
        <v>39</v>
      </c>
    </row>
    <row r="74" customFormat="false" ht="30" hidden="false" customHeight="true" outlineLevel="0" collapsed="false">
      <c r="A74" s="5" t="n">
        <v>54</v>
      </c>
      <c r="B74" s="8" t="s">
        <v>102</v>
      </c>
      <c r="C74" s="5" t="s">
        <v>38</v>
      </c>
      <c r="D74" s="5" t="n">
        <f aca="false">_xlfn.IFS(C74="Yes",1,C74="Partial",0.5,C74="N/A","N/A",C74="No",0)</f>
        <v>1</v>
      </c>
      <c r="E74" s="8" t="s">
        <v>39</v>
      </c>
    </row>
    <row r="75" customFormat="false" ht="15" hidden="false" customHeight="true" outlineLevel="0" collapsed="false">
      <c r="A75" s="9"/>
      <c r="B75" s="10" t="s">
        <v>103</v>
      </c>
      <c r="C75" s="10"/>
      <c r="D75" s="11" t="n">
        <f aca="false">IFERROR(AVERAGEIF(D66:D74,"&lt;&gt;N/A",D66:D74),0)</f>
        <v>1</v>
      </c>
      <c r="E75" s="9"/>
    </row>
    <row r="77" customFormat="false" ht="15" hidden="false" customHeight="true" outlineLevel="0" collapsed="false">
      <c r="A77" s="7" t="s">
        <v>104</v>
      </c>
      <c r="B77" s="7"/>
      <c r="C77" s="7"/>
      <c r="D77" s="7"/>
      <c r="E77" s="7"/>
    </row>
    <row r="78" customFormat="false" ht="30" hidden="false" customHeight="true" outlineLevel="0" collapsed="false">
      <c r="A78" s="5" t="n">
        <v>55</v>
      </c>
      <c r="B78" s="8" t="s">
        <v>105</v>
      </c>
      <c r="C78" s="5" t="s">
        <v>38</v>
      </c>
      <c r="D78" s="5" t="n">
        <f aca="false">_xlfn.IFS(C78="Yes",1,C78="Partial",0.5,C78="N/A","N/A",C78="No",0)</f>
        <v>1</v>
      </c>
      <c r="E78" s="8" t="s">
        <v>39</v>
      </c>
    </row>
    <row r="79" customFormat="false" ht="30" hidden="false" customHeight="true" outlineLevel="0" collapsed="false">
      <c r="A79" s="5" t="n">
        <v>56</v>
      </c>
      <c r="B79" s="8" t="s">
        <v>106</v>
      </c>
      <c r="C79" s="5" t="s">
        <v>38</v>
      </c>
      <c r="D79" s="5" t="n">
        <f aca="false">_xlfn.IFS(C79="Yes",1,C79="Partial",0.5,C79="N/A","N/A",C79="No",0)</f>
        <v>1</v>
      </c>
      <c r="E79" s="8" t="s">
        <v>39</v>
      </c>
    </row>
    <row r="80" customFormat="false" ht="30" hidden="false" customHeight="true" outlineLevel="0" collapsed="false">
      <c r="A80" s="5" t="n">
        <v>57</v>
      </c>
      <c r="B80" s="8" t="s">
        <v>107</v>
      </c>
      <c r="C80" s="5" t="s">
        <v>108</v>
      </c>
      <c r="D80" s="5" t="str">
        <f aca="false">_xlfn.IFS(C80="Yes",1,C80="Partial",0.5,C80="N/A","N/A",C80="No",0)</f>
        <v>N/A</v>
      </c>
      <c r="E80" s="8" t="s">
        <v>109</v>
      </c>
    </row>
    <row r="81" customFormat="false" ht="30" hidden="false" customHeight="true" outlineLevel="0" collapsed="false">
      <c r="A81" s="5" t="n">
        <v>58</v>
      </c>
      <c r="B81" s="8" t="s">
        <v>110</v>
      </c>
      <c r="C81" s="5" t="s">
        <v>38</v>
      </c>
      <c r="D81" s="5" t="n">
        <f aca="false">_xlfn.IFS(C81="Yes",1,C81="Partial",0.5,C81="N/A","N/A",C81="No",0)</f>
        <v>1</v>
      </c>
      <c r="E81" s="8" t="s">
        <v>39</v>
      </c>
    </row>
    <row r="82" customFormat="false" ht="30" hidden="false" customHeight="true" outlineLevel="0" collapsed="false">
      <c r="A82" s="5" t="n">
        <v>59</v>
      </c>
      <c r="B82" s="8" t="s">
        <v>111</v>
      </c>
      <c r="C82" s="5" t="s">
        <v>38</v>
      </c>
      <c r="D82" s="5" t="n">
        <f aca="false">_xlfn.IFS(C82="Yes",1,C82="Partial",0.5,C82="N/A","N/A",C82="No",0)</f>
        <v>1</v>
      </c>
      <c r="E82" s="8" t="s">
        <v>39</v>
      </c>
    </row>
    <row r="83" customFormat="false" ht="30" hidden="false" customHeight="true" outlineLevel="0" collapsed="false">
      <c r="A83" s="5" t="n">
        <v>60</v>
      </c>
      <c r="B83" s="8" t="s">
        <v>112</v>
      </c>
      <c r="C83" s="5" t="s">
        <v>38</v>
      </c>
      <c r="D83" s="5" t="n">
        <f aca="false">_xlfn.IFS(C83="Yes",1,C83="Partial",0.5,C83="N/A","N/A",C83="No",0)</f>
        <v>1</v>
      </c>
      <c r="E83" s="8" t="s">
        <v>39</v>
      </c>
    </row>
    <row r="84" customFormat="false" ht="30" hidden="false" customHeight="true" outlineLevel="0" collapsed="false">
      <c r="A84" s="5" t="n">
        <v>61</v>
      </c>
      <c r="B84" s="8" t="s">
        <v>113</v>
      </c>
      <c r="C84" s="5" t="s">
        <v>38</v>
      </c>
      <c r="D84" s="5" t="n">
        <f aca="false">_xlfn.IFS(C84="Yes",1,C84="Partial",0.5,C84="N/A","N/A",C84="No",0)</f>
        <v>1</v>
      </c>
      <c r="E84" s="8" t="s">
        <v>39</v>
      </c>
    </row>
    <row r="85" customFormat="false" ht="30" hidden="false" customHeight="true" outlineLevel="0" collapsed="false">
      <c r="A85" s="5" t="n">
        <v>62</v>
      </c>
      <c r="B85" s="8" t="s">
        <v>114</v>
      </c>
      <c r="C85" s="5" t="s">
        <v>38</v>
      </c>
      <c r="D85" s="5" t="n">
        <f aca="false">_xlfn.IFS(C85="Yes",1,C85="Partial",0.5,C85="N/A","N/A",C85="No",0)</f>
        <v>1</v>
      </c>
      <c r="E85" s="8" t="s">
        <v>39</v>
      </c>
    </row>
    <row r="86" customFormat="false" ht="30" hidden="false" customHeight="true" outlineLevel="0" collapsed="false">
      <c r="A86" s="5" t="n">
        <v>63</v>
      </c>
      <c r="B86" s="8" t="s">
        <v>115</v>
      </c>
      <c r="C86" s="5" t="s">
        <v>38</v>
      </c>
      <c r="D86" s="5" t="n">
        <f aca="false">_xlfn.IFS(C86="Yes",1,C86="Partial",0.5,C86="N/A","N/A",C86="No",0)</f>
        <v>1</v>
      </c>
      <c r="E86" s="8" t="s">
        <v>39</v>
      </c>
    </row>
    <row r="87" customFormat="false" ht="15" hidden="false" customHeight="true" outlineLevel="0" collapsed="false">
      <c r="A87" s="9"/>
      <c r="B87" s="10" t="s">
        <v>116</v>
      </c>
      <c r="C87" s="10"/>
      <c r="D87" s="11" t="n">
        <f aca="false">IFERROR(AVERAGEIF(D78:D86,"&lt;&gt;N/A",D78:D86),0)</f>
        <v>1</v>
      </c>
      <c r="E87" s="9"/>
    </row>
    <row r="89" customFormat="false" ht="15" hidden="false" customHeight="true" outlineLevel="0" collapsed="false">
      <c r="A89" s="7" t="s">
        <v>117</v>
      </c>
      <c r="B89" s="7"/>
      <c r="C89" s="7"/>
      <c r="D89" s="7"/>
      <c r="E89" s="7"/>
    </row>
    <row r="90" customFormat="false" ht="30" hidden="false" customHeight="true" outlineLevel="0" collapsed="false">
      <c r="A90" s="5" t="n">
        <v>64</v>
      </c>
      <c r="B90" s="8" t="s">
        <v>118</v>
      </c>
      <c r="C90" s="5" t="s">
        <v>38</v>
      </c>
      <c r="D90" s="5" t="n">
        <f aca="false">_xlfn.IFS(C90="Yes",1,C90="Partial",0.5,C90="N/A","N/A",C90="No",0)</f>
        <v>1</v>
      </c>
      <c r="E90" s="8" t="s">
        <v>39</v>
      </c>
    </row>
    <row r="91" customFormat="false" ht="30" hidden="false" customHeight="true" outlineLevel="0" collapsed="false">
      <c r="A91" s="5" t="n">
        <v>65</v>
      </c>
      <c r="B91" s="8" t="s">
        <v>119</v>
      </c>
      <c r="C91" s="5" t="s">
        <v>38</v>
      </c>
      <c r="D91" s="5" t="n">
        <f aca="false">_xlfn.IFS(C91="Yes",1,C91="Partial",0.5,C91="N/A","N/A",C91="No",0)</f>
        <v>1</v>
      </c>
      <c r="E91" s="8" t="s">
        <v>39</v>
      </c>
    </row>
    <row r="92" customFormat="false" ht="30" hidden="false" customHeight="true" outlineLevel="0" collapsed="false">
      <c r="A92" s="5" t="n">
        <v>66</v>
      </c>
      <c r="B92" s="8" t="s">
        <v>120</v>
      </c>
      <c r="C92" s="5" t="s">
        <v>38</v>
      </c>
      <c r="D92" s="5" t="n">
        <f aca="false">_xlfn.IFS(C92="Yes",1,C92="Partial",0.5,C92="N/A","N/A",C92="No",0)</f>
        <v>1</v>
      </c>
      <c r="E92" s="8" t="s">
        <v>39</v>
      </c>
    </row>
    <row r="93" customFormat="false" ht="30" hidden="false" customHeight="true" outlineLevel="0" collapsed="false">
      <c r="A93" s="5" t="n">
        <v>67</v>
      </c>
      <c r="B93" s="8" t="s">
        <v>121</v>
      </c>
      <c r="C93" s="5" t="s">
        <v>38</v>
      </c>
      <c r="D93" s="5" t="n">
        <f aca="false">_xlfn.IFS(C93="Yes",1,C93="Partial",0.5,C93="N/A","N/A",C93="No",0)</f>
        <v>1</v>
      </c>
      <c r="E93" s="8" t="s">
        <v>39</v>
      </c>
    </row>
    <row r="94" customFormat="false" ht="30" hidden="false" customHeight="true" outlineLevel="0" collapsed="false">
      <c r="A94" s="5" t="n">
        <v>68</v>
      </c>
      <c r="B94" s="8" t="s">
        <v>122</v>
      </c>
      <c r="C94" s="5" t="s">
        <v>38</v>
      </c>
      <c r="D94" s="5" t="n">
        <f aca="false">_xlfn.IFS(C94="Yes",1,C94="Partial",0.5,C94="N/A","N/A",C94="No",0)</f>
        <v>1</v>
      </c>
      <c r="E94" s="8" t="s">
        <v>39</v>
      </c>
    </row>
    <row r="95" customFormat="false" ht="30" hidden="false" customHeight="true" outlineLevel="0" collapsed="false">
      <c r="A95" s="5" t="n">
        <v>69</v>
      </c>
      <c r="B95" s="8" t="s">
        <v>123</v>
      </c>
      <c r="C95" s="5" t="s">
        <v>38</v>
      </c>
      <c r="D95" s="5" t="n">
        <f aca="false">_xlfn.IFS(C95="Yes",1,C95="Partial",0.5,C95="N/A","N/A",C95="No",0)</f>
        <v>1</v>
      </c>
      <c r="E95" s="8" t="s">
        <v>39</v>
      </c>
    </row>
    <row r="96" customFormat="false" ht="30" hidden="false" customHeight="true" outlineLevel="0" collapsed="false">
      <c r="A96" s="5" t="n">
        <v>70</v>
      </c>
      <c r="B96" s="8" t="s">
        <v>124</v>
      </c>
      <c r="C96" s="5" t="s">
        <v>38</v>
      </c>
      <c r="D96" s="5" t="n">
        <f aca="false">_xlfn.IFS(C96="Yes",1,C96="Partial",0.5,C96="N/A","N/A",C96="No",0)</f>
        <v>1</v>
      </c>
      <c r="E96" s="8" t="s">
        <v>39</v>
      </c>
    </row>
    <row r="97" customFormat="false" ht="30" hidden="false" customHeight="true" outlineLevel="0" collapsed="false">
      <c r="A97" s="5" t="n">
        <v>71</v>
      </c>
      <c r="B97" s="8" t="s">
        <v>125</v>
      </c>
      <c r="C97" s="5" t="s">
        <v>38</v>
      </c>
      <c r="D97" s="5" t="n">
        <f aca="false">_xlfn.IFS(C97="Yes",1,C97="Partial",0.5,C97="N/A","N/A",C97="No",0)</f>
        <v>1</v>
      </c>
      <c r="E97" s="8" t="s">
        <v>39</v>
      </c>
    </row>
    <row r="98" customFormat="false" ht="15" hidden="false" customHeight="true" outlineLevel="0" collapsed="false">
      <c r="A98" s="9"/>
      <c r="B98" s="10" t="s">
        <v>126</v>
      </c>
      <c r="C98" s="10"/>
      <c r="D98" s="11" t="n">
        <f aca="false">IFERROR(AVERAGEIF(D90:D97,"&lt;&gt;N/A",D90:D97),0)</f>
        <v>1</v>
      </c>
      <c r="E98" s="9"/>
    </row>
    <row r="100" customFormat="false" ht="15" hidden="false" customHeight="true" outlineLevel="0" collapsed="false">
      <c r="A100" s="12" t="s">
        <v>127</v>
      </c>
      <c r="B100" s="12"/>
      <c r="C100" s="12"/>
      <c r="D100" s="13" t="n">
        <f aca="false">AVERAGE(D15,D27,D39,D51,D63,D75,D87,D98)</f>
        <v>1</v>
      </c>
      <c r="E100" s="14"/>
    </row>
    <row r="101" customFormat="false" ht="15" hidden="false" customHeight="true" outlineLevel="0" collapsed="false">
      <c r="A101" s="12" t="s">
        <v>128</v>
      </c>
      <c r="B101" s="12"/>
      <c r="C101" s="12"/>
      <c r="D101" s="15" t="str">
        <f aca="false">_xlfn.IFS(D100&gt;=0.85,"Low Risk",D100&gt;=0.65,"Medium Risk",D100&gt;=0.45,"High Risk",D100&lt;0.45,"Critical Risk")</f>
        <v>Low Risk</v>
      </c>
      <c r="E101" s="14"/>
    </row>
  </sheetData>
  <mergeCells count="18">
    <mergeCell ref="A5:E5"/>
    <mergeCell ref="B15:C15"/>
    <mergeCell ref="A17:E17"/>
    <mergeCell ref="B27:C27"/>
    <mergeCell ref="A29:E29"/>
    <mergeCell ref="B39:C39"/>
    <mergeCell ref="A41:E41"/>
    <mergeCell ref="B51:C51"/>
    <mergeCell ref="A53:E53"/>
    <mergeCell ref="B63:C63"/>
    <mergeCell ref="A65:E65"/>
    <mergeCell ref="B75:C75"/>
    <mergeCell ref="A77:E77"/>
    <mergeCell ref="B87:C87"/>
    <mergeCell ref="A89:E89"/>
    <mergeCell ref="B98:C98"/>
    <mergeCell ref="A100:C100"/>
    <mergeCell ref="A101:C101"/>
  </mergeCells>
  <conditionalFormatting sqref="C5:C98">
    <cfRule type="cellIs" priority="2" operator="equal" aboveAverage="0" equalAverage="0" bottom="0" percent="0" rank="0" text="" dxfId="3">
      <formula>"Yes"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1">
      <formula>"No"</formula>
    </cfRule>
  </conditionalFormatting>
  <conditionalFormatting sqref="D101">
    <cfRule type="cellIs" priority="5" operator="equal" aboveAverage="0" equalAverage="0" bottom="0" percent="0" rank="0" text="" dxfId="0">
      <formula>"Critical Risk"</formula>
    </cfRule>
    <cfRule type="cellIs" priority="6" operator="equal" aboveAverage="0" equalAverage="0" bottom="0" percent="0" rank="0" text="" dxfId="1">
      <formula>"High Risk"</formula>
    </cfRule>
    <cfRule type="cellIs" priority="7" operator="equal" aboveAverage="0" equalAverage="0" bottom="0" percent="0" rank="0" text="" dxfId="2">
      <formula>"Medium Risk"</formula>
    </cfRule>
    <cfRule type="cellIs" priority="8" operator="equal" aboveAverage="0" equalAverage="0" bottom="0" percent="0" rank="0" text="" dxfId="3">
      <formula>"Low Risk"</formula>
    </cfRule>
  </conditionalFormatting>
  <dataValidations count="1">
    <dataValidation allowBlank="false" errorStyle="stop" operator="between" showDropDown="false" showErrorMessage="false" showInputMessage="false" sqref="C5:C98" type="list">
      <formula1>"Yes,Partial,No,N/A"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2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38"/>
  </cols>
  <sheetData>
    <row r="1" customFormat="false" ht="17.25" hidden="false" customHeight="true" outlineLevel="0" collapsed="false">
      <c r="A1" s="2" t="s">
        <v>129</v>
      </c>
    </row>
    <row r="2" customFormat="false" ht="15" hidden="false" customHeight="true" outlineLevel="0" collapsed="false">
      <c r="A2" s="3" t="s">
        <v>130</v>
      </c>
    </row>
    <row r="4" customFormat="false" ht="15" hidden="false" customHeight="true" outlineLevel="0" collapsed="false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</row>
    <row r="5" customFormat="false" ht="15" hidden="false" customHeight="true" outlineLevel="0" collapsed="false">
      <c r="A5" s="7" t="s">
        <v>36</v>
      </c>
      <c r="B5" s="7"/>
      <c r="C5" s="7"/>
      <c r="D5" s="7"/>
      <c r="E5" s="7"/>
    </row>
    <row r="6" customFormat="false" ht="30" hidden="false" customHeight="true" outlineLevel="0" collapsed="false">
      <c r="A6" s="5" t="n">
        <v>1</v>
      </c>
      <c r="B6" s="8" t="s">
        <v>37</v>
      </c>
      <c r="C6" s="5" t="s">
        <v>38</v>
      </c>
      <c r="D6" s="5" t="n">
        <f aca="false">_xlfn.IFS(C6="Yes",1,C6="Partial",0.5,C6="N/A","N/A",C6="No",0)</f>
        <v>1</v>
      </c>
      <c r="E6" s="8" t="s">
        <v>39</v>
      </c>
    </row>
    <row r="7" customFormat="false" ht="30" hidden="false" customHeight="true" outlineLevel="0" collapsed="false">
      <c r="A7" s="5" t="n">
        <v>2</v>
      </c>
      <c r="B7" s="8" t="s">
        <v>40</v>
      </c>
      <c r="C7" s="5" t="s">
        <v>38</v>
      </c>
      <c r="D7" s="5" t="n">
        <f aca="false">_xlfn.IFS(C7="Yes",1,C7="Partial",0.5,C7="N/A","N/A",C7="No",0)</f>
        <v>1</v>
      </c>
      <c r="E7" s="8" t="s">
        <v>39</v>
      </c>
    </row>
    <row r="8" customFormat="false" ht="30" hidden="false" customHeight="true" outlineLevel="0" collapsed="false">
      <c r="A8" s="5" t="n">
        <v>3</v>
      </c>
      <c r="B8" s="8" t="s">
        <v>41</v>
      </c>
      <c r="C8" s="5" t="s">
        <v>38</v>
      </c>
      <c r="D8" s="5" t="n">
        <f aca="false">_xlfn.IFS(C8="Yes",1,C8="Partial",0.5,C8="N/A","N/A",C8="No",0)</f>
        <v>1</v>
      </c>
      <c r="E8" s="8" t="s">
        <v>39</v>
      </c>
    </row>
    <row r="9" customFormat="false" ht="30" hidden="false" customHeight="true" outlineLevel="0" collapsed="false">
      <c r="A9" s="5" t="n">
        <v>4</v>
      </c>
      <c r="B9" s="8" t="s">
        <v>42</v>
      </c>
      <c r="C9" s="5" t="s">
        <v>38</v>
      </c>
      <c r="D9" s="5" t="n">
        <f aca="false">_xlfn.IFS(C9="Yes",1,C9="Partial",0.5,C9="N/A","N/A",C9="No",0)</f>
        <v>1</v>
      </c>
      <c r="E9" s="8" t="s">
        <v>39</v>
      </c>
    </row>
    <row r="10" customFormat="false" ht="30" hidden="false" customHeight="true" outlineLevel="0" collapsed="false">
      <c r="A10" s="5" t="n">
        <v>5</v>
      </c>
      <c r="B10" s="8" t="s">
        <v>43</v>
      </c>
      <c r="C10" s="5" t="s">
        <v>38</v>
      </c>
      <c r="D10" s="5" t="n">
        <f aca="false">_xlfn.IFS(C10="Yes",1,C10="Partial",0.5,C10="N/A","N/A",C10="No",0)</f>
        <v>1</v>
      </c>
      <c r="E10" s="8" t="s">
        <v>39</v>
      </c>
    </row>
    <row r="11" customFormat="false" ht="30" hidden="false" customHeight="true" outlineLevel="0" collapsed="false">
      <c r="A11" s="5" t="n">
        <v>6</v>
      </c>
      <c r="B11" s="8" t="s">
        <v>44</v>
      </c>
      <c r="C11" s="5" t="s">
        <v>38</v>
      </c>
      <c r="D11" s="5" t="n">
        <f aca="false">_xlfn.IFS(C11="Yes",1,C11="Partial",0.5,C11="N/A","N/A",C11="No",0)</f>
        <v>1</v>
      </c>
      <c r="E11" s="8" t="s">
        <v>39</v>
      </c>
    </row>
    <row r="12" customFormat="false" ht="30" hidden="false" customHeight="true" outlineLevel="0" collapsed="false">
      <c r="A12" s="5" t="n">
        <v>7</v>
      </c>
      <c r="B12" s="8" t="s">
        <v>45</v>
      </c>
      <c r="C12" s="5" t="s">
        <v>38</v>
      </c>
      <c r="D12" s="5" t="n">
        <f aca="false">_xlfn.IFS(C12="Yes",1,C12="Partial",0.5,C12="N/A","N/A",C12="No",0)</f>
        <v>1</v>
      </c>
      <c r="E12" s="8" t="s">
        <v>39</v>
      </c>
    </row>
    <row r="13" customFormat="false" ht="30" hidden="false" customHeight="true" outlineLevel="0" collapsed="false">
      <c r="A13" s="5" t="n">
        <v>8</v>
      </c>
      <c r="B13" s="8" t="s">
        <v>46</v>
      </c>
      <c r="C13" s="5" t="s">
        <v>38</v>
      </c>
      <c r="D13" s="5" t="n">
        <f aca="false">_xlfn.IFS(C13="Yes",1,C13="Partial",0.5,C13="N/A","N/A",C13="No",0)</f>
        <v>1</v>
      </c>
      <c r="E13" s="8" t="s">
        <v>39</v>
      </c>
    </row>
    <row r="14" customFormat="false" ht="30" hidden="false" customHeight="true" outlineLevel="0" collapsed="false">
      <c r="A14" s="5" t="n">
        <v>9</v>
      </c>
      <c r="B14" s="8" t="s">
        <v>47</v>
      </c>
      <c r="C14" s="5" t="s">
        <v>38</v>
      </c>
      <c r="D14" s="5" t="n">
        <f aca="false">_xlfn.IFS(C14="Yes",1,C14="Partial",0.5,C14="N/A","N/A",C14="No",0)</f>
        <v>1</v>
      </c>
      <c r="E14" s="8" t="s">
        <v>39</v>
      </c>
    </row>
    <row r="15" customFormat="false" ht="15" hidden="false" customHeight="true" outlineLevel="0" collapsed="false">
      <c r="A15" s="9"/>
      <c r="B15" s="10" t="s">
        <v>48</v>
      </c>
      <c r="C15" s="10"/>
      <c r="D15" s="11" t="n">
        <f aca="false">IFERROR(AVERAGEIF(D6:D14,"&lt;&gt;N/A",D6:D14),0)</f>
        <v>1</v>
      </c>
      <c r="E15" s="9"/>
    </row>
    <row r="17" customFormat="false" ht="15" hidden="false" customHeight="true" outlineLevel="0" collapsed="false">
      <c r="A17" s="7" t="s">
        <v>49</v>
      </c>
      <c r="B17" s="7"/>
      <c r="C17" s="7"/>
      <c r="D17" s="7"/>
      <c r="E17" s="7"/>
    </row>
    <row r="18" customFormat="false" ht="30" hidden="false" customHeight="true" outlineLevel="0" collapsed="false">
      <c r="A18" s="5" t="n">
        <v>10</v>
      </c>
      <c r="B18" s="8" t="s">
        <v>50</v>
      </c>
      <c r="C18" s="5" t="s">
        <v>38</v>
      </c>
      <c r="D18" s="5" t="n">
        <f aca="false">_xlfn.IFS(C18="Yes",1,C18="Partial",0.5,C18="N/A","N/A",C18="No",0)</f>
        <v>1</v>
      </c>
      <c r="E18" s="8" t="s">
        <v>39</v>
      </c>
    </row>
    <row r="19" customFormat="false" ht="30" hidden="false" customHeight="true" outlineLevel="0" collapsed="false">
      <c r="A19" s="5" t="n">
        <v>11</v>
      </c>
      <c r="B19" s="8" t="s">
        <v>51</v>
      </c>
      <c r="C19" s="5" t="s">
        <v>38</v>
      </c>
      <c r="D19" s="5" t="n">
        <f aca="false">_xlfn.IFS(C19="Yes",1,C19="Partial",0.5,C19="N/A","N/A",C19="No",0)</f>
        <v>1</v>
      </c>
      <c r="E19" s="8" t="s">
        <v>39</v>
      </c>
    </row>
    <row r="20" customFormat="false" ht="30" hidden="false" customHeight="true" outlineLevel="0" collapsed="false">
      <c r="A20" s="5" t="n">
        <v>12</v>
      </c>
      <c r="B20" s="8" t="s">
        <v>52</v>
      </c>
      <c r="C20" s="5" t="s">
        <v>38</v>
      </c>
      <c r="D20" s="5" t="n">
        <f aca="false">_xlfn.IFS(C20="Yes",1,C20="Partial",0.5,C20="N/A","N/A",C20="No",0)</f>
        <v>1</v>
      </c>
      <c r="E20" s="8" t="s">
        <v>39</v>
      </c>
    </row>
    <row r="21" customFormat="false" ht="30" hidden="false" customHeight="true" outlineLevel="0" collapsed="false">
      <c r="A21" s="5" t="n">
        <v>13</v>
      </c>
      <c r="B21" s="8" t="s">
        <v>53</v>
      </c>
      <c r="C21" s="5" t="s">
        <v>38</v>
      </c>
      <c r="D21" s="5" t="n">
        <f aca="false">_xlfn.IFS(C21="Yes",1,C21="Partial",0.5,C21="N/A","N/A",C21="No",0)</f>
        <v>1</v>
      </c>
      <c r="E21" s="8" t="s">
        <v>39</v>
      </c>
    </row>
    <row r="22" customFormat="false" ht="30" hidden="false" customHeight="true" outlineLevel="0" collapsed="false">
      <c r="A22" s="5" t="n">
        <v>14</v>
      </c>
      <c r="B22" s="8" t="s">
        <v>54</v>
      </c>
      <c r="C22" s="5" t="s">
        <v>38</v>
      </c>
      <c r="D22" s="5" t="n">
        <f aca="false">_xlfn.IFS(C22="Yes",1,C22="Partial",0.5,C22="N/A","N/A",C22="No",0)</f>
        <v>1</v>
      </c>
      <c r="E22" s="8" t="s">
        <v>39</v>
      </c>
    </row>
    <row r="23" customFormat="false" ht="30" hidden="false" customHeight="true" outlineLevel="0" collapsed="false">
      <c r="A23" s="5" t="n">
        <v>15</v>
      </c>
      <c r="B23" s="8" t="s">
        <v>55</v>
      </c>
      <c r="C23" s="5" t="s">
        <v>38</v>
      </c>
      <c r="D23" s="5" t="n">
        <f aca="false">_xlfn.IFS(C23="Yes",1,C23="Partial",0.5,C23="N/A","N/A",C23="No",0)</f>
        <v>1</v>
      </c>
      <c r="E23" s="8" t="s">
        <v>39</v>
      </c>
    </row>
    <row r="24" customFormat="false" ht="30" hidden="false" customHeight="true" outlineLevel="0" collapsed="false">
      <c r="A24" s="5" t="n">
        <v>16</v>
      </c>
      <c r="B24" s="8" t="s">
        <v>56</v>
      </c>
      <c r="C24" s="5" t="s">
        <v>38</v>
      </c>
      <c r="D24" s="5" t="n">
        <f aca="false">_xlfn.IFS(C24="Yes",1,C24="Partial",0.5,C24="N/A","N/A",C24="No",0)</f>
        <v>1</v>
      </c>
      <c r="E24" s="8" t="s">
        <v>39</v>
      </c>
    </row>
    <row r="25" customFormat="false" ht="30" hidden="false" customHeight="true" outlineLevel="0" collapsed="false">
      <c r="A25" s="5" t="n">
        <v>17</v>
      </c>
      <c r="B25" s="8" t="s">
        <v>57</v>
      </c>
      <c r="C25" s="5" t="s">
        <v>38</v>
      </c>
      <c r="D25" s="5" t="n">
        <f aca="false">_xlfn.IFS(C25="Yes",1,C25="Partial",0.5,C25="N/A","N/A",C25="No",0)</f>
        <v>1</v>
      </c>
      <c r="E25" s="8" t="s">
        <v>39</v>
      </c>
    </row>
    <row r="26" customFormat="false" ht="30" hidden="false" customHeight="true" outlineLevel="0" collapsed="false">
      <c r="A26" s="5" t="n">
        <v>18</v>
      </c>
      <c r="B26" s="8" t="s">
        <v>58</v>
      </c>
      <c r="C26" s="5" t="s">
        <v>38</v>
      </c>
      <c r="D26" s="5" t="n">
        <f aca="false">_xlfn.IFS(C26="Yes",1,C26="Partial",0.5,C26="N/A","N/A",C26="No",0)</f>
        <v>1</v>
      </c>
      <c r="E26" s="8" t="s">
        <v>39</v>
      </c>
    </row>
    <row r="27" customFormat="false" ht="15" hidden="false" customHeight="true" outlineLevel="0" collapsed="false">
      <c r="A27" s="9"/>
      <c r="B27" s="10" t="s">
        <v>59</v>
      </c>
      <c r="C27" s="10"/>
      <c r="D27" s="11" t="n">
        <f aca="false">IFERROR(AVERAGEIF(D18:D26,"&lt;&gt;N/A",D18:D26),0)</f>
        <v>1</v>
      </c>
      <c r="E27" s="9"/>
    </row>
    <row r="29" customFormat="false" ht="15" hidden="false" customHeight="true" outlineLevel="0" collapsed="false">
      <c r="A29" s="7" t="s">
        <v>60</v>
      </c>
      <c r="B29" s="7"/>
      <c r="C29" s="7"/>
      <c r="D29" s="7"/>
      <c r="E29" s="7"/>
    </row>
    <row r="30" customFormat="false" ht="30" hidden="false" customHeight="true" outlineLevel="0" collapsed="false">
      <c r="A30" s="5" t="n">
        <v>19</v>
      </c>
      <c r="B30" s="8" t="s">
        <v>61</v>
      </c>
      <c r="C30" s="5" t="s">
        <v>38</v>
      </c>
      <c r="D30" s="5" t="n">
        <f aca="false">_xlfn.IFS(C30="Yes",1,C30="Partial",0.5,C30="N/A","N/A",C30="No",0)</f>
        <v>1</v>
      </c>
      <c r="E30" s="8" t="s">
        <v>39</v>
      </c>
    </row>
    <row r="31" customFormat="false" ht="30" hidden="false" customHeight="true" outlineLevel="0" collapsed="false">
      <c r="A31" s="5" t="n">
        <v>20</v>
      </c>
      <c r="B31" s="8" t="s">
        <v>62</v>
      </c>
      <c r="C31" s="5" t="s">
        <v>38</v>
      </c>
      <c r="D31" s="5" t="n">
        <f aca="false">_xlfn.IFS(C31="Yes",1,C31="Partial",0.5,C31="N/A","N/A",C31="No",0)</f>
        <v>1</v>
      </c>
      <c r="E31" s="8" t="s">
        <v>39</v>
      </c>
    </row>
    <row r="32" customFormat="false" ht="30" hidden="false" customHeight="true" outlineLevel="0" collapsed="false">
      <c r="A32" s="5" t="n">
        <v>21</v>
      </c>
      <c r="B32" s="8" t="s">
        <v>63</v>
      </c>
      <c r="C32" s="5" t="s">
        <v>38</v>
      </c>
      <c r="D32" s="5" t="n">
        <f aca="false">_xlfn.IFS(C32="Yes",1,C32="Partial",0.5,C32="N/A","N/A",C32="No",0)</f>
        <v>1</v>
      </c>
      <c r="E32" s="8" t="s">
        <v>39</v>
      </c>
    </row>
    <row r="33" customFormat="false" ht="30" hidden="false" customHeight="true" outlineLevel="0" collapsed="false">
      <c r="A33" s="5" t="n">
        <v>22</v>
      </c>
      <c r="B33" s="8" t="s">
        <v>64</v>
      </c>
      <c r="C33" s="5" t="s">
        <v>38</v>
      </c>
      <c r="D33" s="5" t="n">
        <f aca="false">_xlfn.IFS(C33="Yes",1,C33="Partial",0.5,C33="N/A","N/A",C33="No",0)</f>
        <v>1</v>
      </c>
      <c r="E33" s="8" t="s">
        <v>39</v>
      </c>
    </row>
    <row r="34" customFormat="false" ht="30" hidden="false" customHeight="true" outlineLevel="0" collapsed="false">
      <c r="A34" s="5" t="n">
        <v>23</v>
      </c>
      <c r="B34" s="8" t="s">
        <v>65</v>
      </c>
      <c r="C34" s="5" t="s">
        <v>38</v>
      </c>
      <c r="D34" s="5" t="n">
        <f aca="false">_xlfn.IFS(C34="Yes",1,C34="Partial",0.5,C34="N/A","N/A",C34="No",0)</f>
        <v>1</v>
      </c>
      <c r="E34" s="8" t="s">
        <v>39</v>
      </c>
    </row>
    <row r="35" customFormat="false" ht="30" hidden="false" customHeight="true" outlineLevel="0" collapsed="false">
      <c r="A35" s="5" t="n">
        <v>24</v>
      </c>
      <c r="B35" s="8" t="s">
        <v>66</v>
      </c>
      <c r="C35" s="5" t="s">
        <v>38</v>
      </c>
      <c r="D35" s="5" t="n">
        <f aca="false">_xlfn.IFS(C35="Yes",1,C35="Partial",0.5,C35="N/A","N/A",C35="No",0)</f>
        <v>1</v>
      </c>
      <c r="E35" s="8" t="s">
        <v>39</v>
      </c>
    </row>
    <row r="36" customFormat="false" ht="30" hidden="false" customHeight="true" outlineLevel="0" collapsed="false">
      <c r="A36" s="5" t="n">
        <v>25</v>
      </c>
      <c r="B36" s="8" t="s">
        <v>67</v>
      </c>
      <c r="C36" s="5" t="s">
        <v>38</v>
      </c>
      <c r="D36" s="5" t="n">
        <f aca="false">_xlfn.IFS(C36="Yes",1,C36="Partial",0.5,C36="N/A","N/A",C36="No",0)</f>
        <v>1</v>
      </c>
      <c r="E36" s="8" t="s">
        <v>39</v>
      </c>
    </row>
    <row r="37" customFormat="false" ht="30" hidden="false" customHeight="true" outlineLevel="0" collapsed="false">
      <c r="A37" s="5" t="n">
        <v>26</v>
      </c>
      <c r="B37" s="8" t="s">
        <v>68</v>
      </c>
      <c r="C37" s="5" t="s">
        <v>38</v>
      </c>
      <c r="D37" s="5" t="n">
        <f aca="false">_xlfn.IFS(C37="Yes",1,C37="Partial",0.5,C37="N/A","N/A",C37="No",0)</f>
        <v>1</v>
      </c>
      <c r="E37" s="8" t="s">
        <v>39</v>
      </c>
    </row>
    <row r="38" customFormat="false" ht="30" hidden="false" customHeight="true" outlineLevel="0" collapsed="false">
      <c r="A38" s="5" t="n">
        <v>27</v>
      </c>
      <c r="B38" s="8" t="s">
        <v>69</v>
      </c>
      <c r="C38" s="5" t="s">
        <v>38</v>
      </c>
      <c r="D38" s="5" t="n">
        <f aca="false">_xlfn.IFS(C38="Yes",1,C38="Partial",0.5,C38="N/A","N/A",C38="No",0)</f>
        <v>1</v>
      </c>
      <c r="E38" s="8" t="s">
        <v>39</v>
      </c>
    </row>
    <row r="39" customFormat="false" ht="15" hidden="false" customHeight="true" outlineLevel="0" collapsed="false">
      <c r="A39" s="9"/>
      <c r="B39" s="10" t="s">
        <v>70</v>
      </c>
      <c r="C39" s="10"/>
      <c r="D39" s="11" t="n">
        <f aca="false">IFERROR(AVERAGEIF(D30:D38,"&lt;&gt;N/A",D30:D38),0)</f>
        <v>1</v>
      </c>
      <c r="E39" s="9"/>
    </row>
    <row r="41" customFormat="false" ht="15" hidden="false" customHeight="true" outlineLevel="0" collapsed="false">
      <c r="A41" s="7" t="s">
        <v>71</v>
      </c>
      <c r="B41" s="7"/>
      <c r="C41" s="7"/>
      <c r="D41" s="7"/>
      <c r="E41" s="7"/>
    </row>
    <row r="42" customFormat="false" ht="30" hidden="false" customHeight="true" outlineLevel="0" collapsed="false">
      <c r="A42" s="5" t="n">
        <v>28</v>
      </c>
      <c r="B42" s="8" t="s">
        <v>72</v>
      </c>
      <c r="C42" s="5" t="s">
        <v>38</v>
      </c>
      <c r="D42" s="5" t="n">
        <f aca="false">_xlfn.IFS(C42="Yes",1,C42="Partial",0.5,C42="N/A","N/A",C42="No",0)</f>
        <v>1</v>
      </c>
      <c r="E42" s="8" t="s">
        <v>39</v>
      </c>
    </row>
    <row r="43" customFormat="false" ht="30" hidden="false" customHeight="true" outlineLevel="0" collapsed="false">
      <c r="A43" s="5" t="n">
        <v>29</v>
      </c>
      <c r="B43" s="8" t="s">
        <v>73</v>
      </c>
      <c r="C43" s="5" t="s">
        <v>38</v>
      </c>
      <c r="D43" s="5" t="n">
        <f aca="false">_xlfn.IFS(C43="Yes",1,C43="Partial",0.5,C43="N/A","N/A",C43="No",0)</f>
        <v>1</v>
      </c>
      <c r="E43" s="8" t="s">
        <v>39</v>
      </c>
    </row>
    <row r="44" customFormat="false" ht="30" hidden="false" customHeight="true" outlineLevel="0" collapsed="false">
      <c r="A44" s="5" t="n">
        <v>30</v>
      </c>
      <c r="B44" s="8" t="s">
        <v>74</v>
      </c>
      <c r="C44" s="5" t="s">
        <v>38</v>
      </c>
      <c r="D44" s="5" t="n">
        <f aca="false">_xlfn.IFS(C44="Yes",1,C44="Partial",0.5,C44="N/A","N/A",C44="No",0)</f>
        <v>1</v>
      </c>
      <c r="E44" s="8" t="s">
        <v>39</v>
      </c>
    </row>
    <row r="45" customFormat="false" ht="30" hidden="false" customHeight="true" outlineLevel="0" collapsed="false">
      <c r="A45" s="5" t="n">
        <v>31</v>
      </c>
      <c r="B45" s="8" t="s">
        <v>75</v>
      </c>
      <c r="C45" s="5" t="s">
        <v>38</v>
      </c>
      <c r="D45" s="5" t="n">
        <f aca="false">_xlfn.IFS(C45="Yes",1,C45="Partial",0.5,C45="N/A","N/A",C45="No",0)</f>
        <v>1</v>
      </c>
      <c r="E45" s="8" t="s">
        <v>39</v>
      </c>
    </row>
    <row r="46" customFormat="false" ht="30" hidden="false" customHeight="true" outlineLevel="0" collapsed="false">
      <c r="A46" s="5" t="n">
        <v>32</v>
      </c>
      <c r="B46" s="8" t="s">
        <v>76</v>
      </c>
      <c r="C46" s="5" t="s">
        <v>38</v>
      </c>
      <c r="D46" s="5" t="n">
        <f aca="false">_xlfn.IFS(C46="Yes",1,C46="Partial",0.5,C46="N/A","N/A",C46="No",0)</f>
        <v>1</v>
      </c>
      <c r="E46" s="8" t="s">
        <v>39</v>
      </c>
    </row>
    <row r="47" customFormat="false" ht="30" hidden="false" customHeight="true" outlineLevel="0" collapsed="false">
      <c r="A47" s="5" t="n">
        <v>33</v>
      </c>
      <c r="B47" s="8" t="s">
        <v>77</v>
      </c>
      <c r="C47" s="5" t="s">
        <v>38</v>
      </c>
      <c r="D47" s="5" t="n">
        <f aca="false">_xlfn.IFS(C47="Yes",1,C47="Partial",0.5,C47="N/A","N/A",C47="No",0)</f>
        <v>1</v>
      </c>
      <c r="E47" s="8" t="s">
        <v>39</v>
      </c>
    </row>
    <row r="48" customFormat="false" ht="30" hidden="false" customHeight="true" outlineLevel="0" collapsed="false">
      <c r="A48" s="5" t="n">
        <v>34</v>
      </c>
      <c r="B48" s="8" t="s">
        <v>78</v>
      </c>
      <c r="C48" s="5" t="s">
        <v>38</v>
      </c>
      <c r="D48" s="5" t="n">
        <f aca="false">_xlfn.IFS(C48="Yes",1,C48="Partial",0.5,C48="N/A","N/A",C48="No",0)</f>
        <v>1</v>
      </c>
      <c r="E48" s="8" t="s">
        <v>39</v>
      </c>
    </row>
    <row r="49" customFormat="false" ht="30" hidden="false" customHeight="true" outlineLevel="0" collapsed="false">
      <c r="A49" s="5" t="n">
        <v>35</v>
      </c>
      <c r="B49" s="8" t="s">
        <v>79</v>
      </c>
      <c r="C49" s="5" t="s">
        <v>38</v>
      </c>
      <c r="D49" s="5" t="n">
        <f aca="false">_xlfn.IFS(C49="Yes",1,C49="Partial",0.5,C49="N/A","N/A",C49="No",0)</f>
        <v>1</v>
      </c>
      <c r="E49" s="8" t="s">
        <v>39</v>
      </c>
    </row>
    <row r="50" customFormat="false" ht="30" hidden="false" customHeight="true" outlineLevel="0" collapsed="false">
      <c r="A50" s="5" t="n">
        <v>36</v>
      </c>
      <c r="B50" s="8" t="s">
        <v>80</v>
      </c>
      <c r="C50" s="5" t="s">
        <v>38</v>
      </c>
      <c r="D50" s="5" t="n">
        <f aca="false">_xlfn.IFS(C50="Yes",1,C50="Partial",0.5,C50="N/A","N/A",C50="No",0)</f>
        <v>1</v>
      </c>
      <c r="E50" s="8" t="s">
        <v>39</v>
      </c>
    </row>
    <row r="51" customFormat="false" ht="15" hidden="false" customHeight="true" outlineLevel="0" collapsed="false">
      <c r="A51" s="9"/>
      <c r="B51" s="10" t="s">
        <v>81</v>
      </c>
      <c r="C51" s="10"/>
      <c r="D51" s="11" t="n">
        <f aca="false">IFERROR(AVERAGEIF(D42:D50,"&lt;&gt;N/A",D42:D50),0)</f>
        <v>1</v>
      </c>
      <c r="E51" s="9"/>
    </row>
    <row r="53" customFormat="false" ht="15" hidden="false" customHeight="true" outlineLevel="0" collapsed="false">
      <c r="A53" s="7" t="s">
        <v>82</v>
      </c>
      <c r="B53" s="7"/>
      <c r="C53" s="7"/>
      <c r="D53" s="7"/>
      <c r="E53" s="7"/>
    </row>
    <row r="54" customFormat="false" ht="30" hidden="false" customHeight="true" outlineLevel="0" collapsed="false">
      <c r="A54" s="5" t="n">
        <v>37</v>
      </c>
      <c r="B54" s="8" t="s">
        <v>83</v>
      </c>
      <c r="C54" s="5" t="s">
        <v>38</v>
      </c>
      <c r="D54" s="5" t="n">
        <f aca="false">_xlfn.IFS(C54="Yes",1,C54="Partial",0.5,C54="N/A","N/A",C54="No",0)</f>
        <v>1</v>
      </c>
      <c r="E54" s="8" t="s">
        <v>39</v>
      </c>
    </row>
    <row r="55" customFormat="false" ht="30" hidden="false" customHeight="true" outlineLevel="0" collapsed="false">
      <c r="A55" s="5" t="n">
        <v>38</v>
      </c>
      <c r="B55" s="8" t="s">
        <v>84</v>
      </c>
      <c r="C55" s="5" t="s">
        <v>38</v>
      </c>
      <c r="D55" s="5" t="n">
        <f aca="false">_xlfn.IFS(C55="Yes",1,C55="Partial",0.5,C55="N/A","N/A",C55="No",0)</f>
        <v>1</v>
      </c>
      <c r="E55" s="8" t="s">
        <v>39</v>
      </c>
    </row>
    <row r="56" customFormat="false" ht="30" hidden="false" customHeight="true" outlineLevel="0" collapsed="false">
      <c r="A56" s="5" t="n">
        <v>39</v>
      </c>
      <c r="B56" s="8" t="s">
        <v>85</v>
      </c>
      <c r="C56" s="5" t="s">
        <v>38</v>
      </c>
      <c r="D56" s="5" t="n">
        <f aca="false">_xlfn.IFS(C56="Yes",1,C56="Partial",0.5,C56="N/A","N/A",C56="No",0)</f>
        <v>1</v>
      </c>
      <c r="E56" s="8" t="s">
        <v>39</v>
      </c>
    </row>
    <row r="57" customFormat="false" ht="30" hidden="false" customHeight="true" outlineLevel="0" collapsed="false">
      <c r="A57" s="5" t="n">
        <v>40</v>
      </c>
      <c r="B57" s="8" t="s">
        <v>86</v>
      </c>
      <c r="C57" s="5" t="s">
        <v>38</v>
      </c>
      <c r="D57" s="5" t="n">
        <f aca="false">_xlfn.IFS(C57="Yes",1,C57="Partial",0.5,C57="N/A","N/A",C57="No",0)</f>
        <v>1</v>
      </c>
      <c r="E57" s="8" t="s">
        <v>39</v>
      </c>
    </row>
    <row r="58" customFormat="false" ht="30" hidden="false" customHeight="true" outlineLevel="0" collapsed="false">
      <c r="A58" s="5" t="n">
        <v>41</v>
      </c>
      <c r="B58" s="8" t="s">
        <v>87</v>
      </c>
      <c r="C58" s="5" t="s">
        <v>38</v>
      </c>
      <c r="D58" s="5" t="n">
        <f aca="false">_xlfn.IFS(C58="Yes",1,C58="Partial",0.5,C58="N/A","N/A",C58="No",0)</f>
        <v>1</v>
      </c>
      <c r="E58" s="8" t="s">
        <v>39</v>
      </c>
    </row>
    <row r="59" customFormat="false" ht="30" hidden="false" customHeight="true" outlineLevel="0" collapsed="false">
      <c r="A59" s="5" t="n">
        <v>42</v>
      </c>
      <c r="B59" s="8" t="s">
        <v>88</v>
      </c>
      <c r="C59" s="5" t="s">
        <v>38</v>
      </c>
      <c r="D59" s="5" t="n">
        <f aca="false">_xlfn.IFS(C59="Yes",1,C59="Partial",0.5,C59="N/A","N/A",C59="No",0)</f>
        <v>1</v>
      </c>
      <c r="E59" s="8" t="s">
        <v>39</v>
      </c>
    </row>
    <row r="60" customFormat="false" ht="30" hidden="false" customHeight="true" outlineLevel="0" collapsed="false">
      <c r="A60" s="5" t="n">
        <v>43</v>
      </c>
      <c r="B60" s="8" t="s">
        <v>89</v>
      </c>
      <c r="C60" s="5" t="s">
        <v>38</v>
      </c>
      <c r="D60" s="5" t="n">
        <f aca="false">_xlfn.IFS(C60="Yes",1,C60="Partial",0.5,C60="N/A","N/A",C60="No",0)</f>
        <v>1</v>
      </c>
      <c r="E60" s="8" t="s">
        <v>39</v>
      </c>
    </row>
    <row r="61" customFormat="false" ht="30" hidden="false" customHeight="true" outlineLevel="0" collapsed="false">
      <c r="A61" s="5" t="n">
        <v>44</v>
      </c>
      <c r="B61" s="8" t="s">
        <v>90</v>
      </c>
      <c r="C61" s="5" t="s">
        <v>38</v>
      </c>
      <c r="D61" s="5" t="n">
        <f aca="false">_xlfn.IFS(C61="Yes",1,C61="Partial",0.5,C61="N/A","N/A",C61="No",0)</f>
        <v>1</v>
      </c>
      <c r="E61" s="8" t="s">
        <v>39</v>
      </c>
    </row>
    <row r="62" customFormat="false" ht="30" hidden="false" customHeight="true" outlineLevel="0" collapsed="false">
      <c r="A62" s="5" t="n">
        <v>45</v>
      </c>
      <c r="B62" s="8" t="s">
        <v>91</v>
      </c>
      <c r="C62" s="5" t="s">
        <v>38</v>
      </c>
      <c r="D62" s="5" t="n">
        <f aca="false">_xlfn.IFS(C62="Yes",1,C62="Partial",0.5,C62="N/A","N/A",C62="No",0)</f>
        <v>1</v>
      </c>
      <c r="E62" s="8" t="s">
        <v>39</v>
      </c>
    </row>
    <row r="63" customFormat="false" ht="15" hidden="false" customHeight="true" outlineLevel="0" collapsed="false">
      <c r="A63" s="9"/>
      <c r="B63" s="10" t="s">
        <v>92</v>
      </c>
      <c r="C63" s="10"/>
      <c r="D63" s="11" t="n">
        <f aca="false">IFERROR(AVERAGEIF(D54:D62,"&lt;&gt;N/A",D54:D62),0)</f>
        <v>1</v>
      </c>
      <c r="E63" s="9"/>
    </row>
    <row r="65" customFormat="false" ht="15" hidden="false" customHeight="true" outlineLevel="0" collapsed="false">
      <c r="A65" s="7" t="s">
        <v>93</v>
      </c>
      <c r="B65" s="7"/>
      <c r="C65" s="7"/>
      <c r="D65" s="7"/>
      <c r="E65" s="7"/>
    </row>
    <row r="66" customFormat="false" ht="30" hidden="false" customHeight="true" outlineLevel="0" collapsed="false">
      <c r="A66" s="5" t="n">
        <v>46</v>
      </c>
      <c r="B66" s="8" t="s">
        <v>94</v>
      </c>
      <c r="C66" s="5" t="s">
        <v>38</v>
      </c>
      <c r="D66" s="5" t="n">
        <f aca="false">_xlfn.IFS(C66="Yes",1,C66="Partial",0.5,C66="N/A","N/A",C66="No",0)</f>
        <v>1</v>
      </c>
      <c r="E66" s="8" t="s">
        <v>39</v>
      </c>
    </row>
    <row r="67" customFormat="false" ht="30" hidden="false" customHeight="true" outlineLevel="0" collapsed="false">
      <c r="A67" s="5" t="n">
        <v>47</v>
      </c>
      <c r="B67" s="8" t="s">
        <v>95</v>
      </c>
      <c r="C67" s="5" t="s">
        <v>38</v>
      </c>
      <c r="D67" s="5" t="n">
        <f aca="false">_xlfn.IFS(C67="Yes",1,C67="Partial",0.5,C67="N/A","N/A",C67="No",0)</f>
        <v>1</v>
      </c>
      <c r="E67" s="8" t="s">
        <v>39</v>
      </c>
    </row>
    <row r="68" customFormat="false" ht="30" hidden="false" customHeight="true" outlineLevel="0" collapsed="false">
      <c r="A68" s="5" t="n">
        <v>48</v>
      </c>
      <c r="B68" s="8" t="s">
        <v>96</v>
      </c>
      <c r="C68" s="5" t="s">
        <v>38</v>
      </c>
      <c r="D68" s="5" t="n">
        <f aca="false">_xlfn.IFS(C68="Yes",1,C68="Partial",0.5,C68="N/A","N/A",C68="No",0)</f>
        <v>1</v>
      </c>
      <c r="E68" s="8" t="s">
        <v>39</v>
      </c>
    </row>
    <row r="69" customFormat="false" ht="30" hidden="false" customHeight="true" outlineLevel="0" collapsed="false">
      <c r="A69" s="5" t="n">
        <v>49</v>
      </c>
      <c r="B69" s="8" t="s">
        <v>97</v>
      </c>
      <c r="C69" s="5" t="s">
        <v>38</v>
      </c>
      <c r="D69" s="5" t="n">
        <f aca="false">_xlfn.IFS(C69="Yes",1,C69="Partial",0.5,C69="N/A","N/A",C69="No",0)</f>
        <v>1</v>
      </c>
      <c r="E69" s="8" t="s">
        <v>39</v>
      </c>
    </row>
    <row r="70" customFormat="false" ht="30" hidden="false" customHeight="true" outlineLevel="0" collapsed="false">
      <c r="A70" s="5" t="n">
        <v>50</v>
      </c>
      <c r="B70" s="8" t="s">
        <v>98</v>
      </c>
      <c r="C70" s="5" t="s">
        <v>38</v>
      </c>
      <c r="D70" s="5" t="n">
        <f aca="false">_xlfn.IFS(C70="Yes",1,C70="Partial",0.5,C70="N/A","N/A",C70="No",0)</f>
        <v>1</v>
      </c>
      <c r="E70" s="8" t="s">
        <v>39</v>
      </c>
    </row>
    <row r="71" customFormat="false" ht="30" hidden="false" customHeight="true" outlineLevel="0" collapsed="false">
      <c r="A71" s="5" t="n">
        <v>51</v>
      </c>
      <c r="B71" s="8" t="s">
        <v>99</v>
      </c>
      <c r="C71" s="5" t="s">
        <v>38</v>
      </c>
      <c r="D71" s="5" t="n">
        <f aca="false">_xlfn.IFS(C71="Yes",1,C71="Partial",0.5,C71="N/A","N/A",C71="No",0)</f>
        <v>1</v>
      </c>
      <c r="E71" s="8" t="s">
        <v>39</v>
      </c>
    </row>
    <row r="72" customFormat="false" ht="30" hidden="false" customHeight="true" outlineLevel="0" collapsed="false">
      <c r="A72" s="5" t="n">
        <v>52</v>
      </c>
      <c r="B72" s="8" t="s">
        <v>100</v>
      </c>
      <c r="C72" s="5" t="s">
        <v>38</v>
      </c>
      <c r="D72" s="5" t="n">
        <f aca="false">_xlfn.IFS(C72="Yes",1,C72="Partial",0.5,C72="N/A","N/A",C72="No",0)</f>
        <v>1</v>
      </c>
      <c r="E72" s="8" t="s">
        <v>39</v>
      </c>
    </row>
    <row r="73" customFormat="false" ht="30" hidden="false" customHeight="true" outlineLevel="0" collapsed="false">
      <c r="A73" s="5" t="n">
        <v>53</v>
      </c>
      <c r="B73" s="8" t="s">
        <v>101</v>
      </c>
      <c r="C73" s="5" t="s">
        <v>38</v>
      </c>
      <c r="D73" s="5" t="n">
        <f aca="false">_xlfn.IFS(C73="Yes",1,C73="Partial",0.5,C73="N/A","N/A",C73="No",0)</f>
        <v>1</v>
      </c>
      <c r="E73" s="8" t="s">
        <v>39</v>
      </c>
    </row>
    <row r="74" customFormat="false" ht="30" hidden="false" customHeight="true" outlineLevel="0" collapsed="false">
      <c r="A74" s="5" t="n">
        <v>54</v>
      </c>
      <c r="B74" s="8" t="s">
        <v>102</v>
      </c>
      <c r="C74" s="5" t="s">
        <v>38</v>
      </c>
      <c r="D74" s="5" t="n">
        <f aca="false">_xlfn.IFS(C74="Yes",1,C74="Partial",0.5,C74="N/A","N/A",C74="No",0)</f>
        <v>1</v>
      </c>
      <c r="E74" s="8" t="s">
        <v>39</v>
      </c>
    </row>
    <row r="75" customFormat="false" ht="15" hidden="false" customHeight="true" outlineLevel="0" collapsed="false">
      <c r="A75" s="9"/>
      <c r="B75" s="10" t="s">
        <v>103</v>
      </c>
      <c r="C75" s="10"/>
      <c r="D75" s="11" t="n">
        <f aca="false">IFERROR(AVERAGEIF(D66:D74,"&lt;&gt;N/A",D66:D74),0)</f>
        <v>1</v>
      </c>
      <c r="E75" s="9"/>
    </row>
    <row r="77" customFormat="false" ht="15" hidden="false" customHeight="true" outlineLevel="0" collapsed="false">
      <c r="A77" s="7" t="s">
        <v>104</v>
      </c>
      <c r="B77" s="7"/>
      <c r="C77" s="7"/>
      <c r="D77" s="7"/>
      <c r="E77" s="7"/>
    </row>
    <row r="78" customFormat="false" ht="30" hidden="false" customHeight="true" outlineLevel="0" collapsed="false">
      <c r="A78" s="5" t="n">
        <v>55</v>
      </c>
      <c r="B78" s="8" t="s">
        <v>105</v>
      </c>
      <c r="C78" s="5" t="s">
        <v>38</v>
      </c>
      <c r="D78" s="5" t="n">
        <f aca="false">_xlfn.IFS(C78="Yes",1,C78="Partial",0.5,C78="N/A","N/A",C78="No",0)</f>
        <v>1</v>
      </c>
      <c r="E78" s="8" t="s">
        <v>39</v>
      </c>
    </row>
    <row r="79" customFormat="false" ht="30" hidden="false" customHeight="true" outlineLevel="0" collapsed="false">
      <c r="A79" s="5" t="n">
        <v>56</v>
      </c>
      <c r="B79" s="8" t="s">
        <v>106</v>
      </c>
      <c r="C79" s="5" t="s">
        <v>131</v>
      </c>
      <c r="D79" s="5" t="n">
        <f aca="false">_xlfn.IFS(C79="Yes",1,C79="Partial",0.5,C79="N/A","N/A",C79="No",0)</f>
        <v>0.5</v>
      </c>
      <c r="E79" s="8" t="s">
        <v>132</v>
      </c>
    </row>
    <row r="80" customFormat="false" ht="30" hidden="false" customHeight="true" outlineLevel="0" collapsed="false">
      <c r="A80" s="5" t="n">
        <v>57</v>
      </c>
      <c r="B80" s="8" t="s">
        <v>107</v>
      </c>
      <c r="C80" s="5" t="s">
        <v>38</v>
      </c>
      <c r="D80" s="5" t="n">
        <f aca="false">_xlfn.IFS(C80="Yes",1,C80="Partial",0.5,C80="N/A","N/A",C80="No",0)</f>
        <v>1</v>
      </c>
      <c r="E80" s="8" t="s">
        <v>39</v>
      </c>
    </row>
    <row r="81" customFormat="false" ht="30" hidden="false" customHeight="true" outlineLevel="0" collapsed="false">
      <c r="A81" s="5" t="n">
        <v>58</v>
      </c>
      <c r="B81" s="8" t="s">
        <v>110</v>
      </c>
      <c r="C81" s="5" t="s">
        <v>38</v>
      </c>
      <c r="D81" s="5" t="n">
        <f aca="false">_xlfn.IFS(C81="Yes",1,C81="Partial",0.5,C81="N/A","N/A",C81="No",0)</f>
        <v>1</v>
      </c>
      <c r="E81" s="8" t="s">
        <v>39</v>
      </c>
    </row>
    <row r="82" customFormat="false" ht="30" hidden="false" customHeight="true" outlineLevel="0" collapsed="false">
      <c r="A82" s="5" t="n">
        <v>59</v>
      </c>
      <c r="B82" s="8" t="s">
        <v>111</v>
      </c>
      <c r="C82" s="5" t="s">
        <v>38</v>
      </c>
      <c r="D82" s="5" t="n">
        <f aca="false">_xlfn.IFS(C82="Yes",1,C82="Partial",0.5,C82="N/A","N/A",C82="No",0)</f>
        <v>1</v>
      </c>
      <c r="E82" s="8" t="s">
        <v>39</v>
      </c>
    </row>
    <row r="83" customFormat="false" ht="30" hidden="false" customHeight="true" outlineLevel="0" collapsed="false">
      <c r="A83" s="5" t="n">
        <v>60</v>
      </c>
      <c r="B83" s="8" t="s">
        <v>112</v>
      </c>
      <c r="C83" s="5" t="s">
        <v>38</v>
      </c>
      <c r="D83" s="5" t="n">
        <f aca="false">_xlfn.IFS(C83="Yes",1,C83="Partial",0.5,C83="N/A","N/A",C83="No",0)</f>
        <v>1</v>
      </c>
      <c r="E83" s="8" t="s">
        <v>39</v>
      </c>
    </row>
    <row r="84" customFormat="false" ht="30" hidden="false" customHeight="true" outlineLevel="0" collapsed="false">
      <c r="A84" s="5" t="n">
        <v>61</v>
      </c>
      <c r="B84" s="8" t="s">
        <v>113</v>
      </c>
      <c r="C84" s="5" t="s">
        <v>38</v>
      </c>
      <c r="D84" s="5" t="n">
        <f aca="false">_xlfn.IFS(C84="Yes",1,C84="Partial",0.5,C84="N/A","N/A",C84="No",0)</f>
        <v>1</v>
      </c>
      <c r="E84" s="8" t="s">
        <v>39</v>
      </c>
    </row>
    <row r="85" customFormat="false" ht="30" hidden="false" customHeight="true" outlineLevel="0" collapsed="false">
      <c r="A85" s="5" t="n">
        <v>62</v>
      </c>
      <c r="B85" s="8" t="s">
        <v>114</v>
      </c>
      <c r="C85" s="5" t="s">
        <v>38</v>
      </c>
      <c r="D85" s="5" t="n">
        <f aca="false">_xlfn.IFS(C85="Yes",1,C85="Partial",0.5,C85="N/A","N/A",C85="No",0)</f>
        <v>1</v>
      </c>
      <c r="E85" s="8" t="s">
        <v>39</v>
      </c>
    </row>
    <row r="86" customFormat="false" ht="30" hidden="false" customHeight="true" outlineLevel="0" collapsed="false">
      <c r="A86" s="5" t="n">
        <v>63</v>
      </c>
      <c r="B86" s="8" t="s">
        <v>115</v>
      </c>
      <c r="C86" s="5" t="s">
        <v>38</v>
      </c>
      <c r="D86" s="5" t="n">
        <f aca="false">_xlfn.IFS(C86="Yes",1,C86="Partial",0.5,C86="N/A","N/A",C86="No",0)</f>
        <v>1</v>
      </c>
      <c r="E86" s="8" t="s">
        <v>39</v>
      </c>
    </row>
    <row r="87" customFormat="false" ht="15" hidden="false" customHeight="true" outlineLevel="0" collapsed="false">
      <c r="A87" s="9"/>
      <c r="B87" s="10" t="s">
        <v>116</v>
      </c>
      <c r="C87" s="10"/>
      <c r="D87" s="11" t="n">
        <f aca="false">IFERROR(AVERAGEIF(D78:D86,"&lt;&gt;N/A",D78:D86),0)</f>
        <v>0.944444444444444</v>
      </c>
      <c r="E87" s="9"/>
    </row>
    <row r="89" customFormat="false" ht="15" hidden="false" customHeight="true" outlineLevel="0" collapsed="false">
      <c r="A89" s="7" t="s">
        <v>117</v>
      </c>
      <c r="B89" s="7"/>
      <c r="C89" s="7"/>
      <c r="D89" s="7"/>
      <c r="E89" s="7"/>
    </row>
    <row r="90" customFormat="false" ht="30" hidden="false" customHeight="true" outlineLevel="0" collapsed="false">
      <c r="A90" s="5" t="n">
        <v>64</v>
      </c>
      <c r="B90" s="8" t="s">
        <v>118</v>
      </c>
      <c r="C90" s="5" t="s">
        <v>38</v>
      </c>
      <c r="D90" s="5" t="n">
        <f aca="false">_xlfn.IFS(C90="Yes",1,C90="Partial",0.5,C90="N/A","N/A",C90="No",0)</f>
        <v>1</v>
      </c>
      <c r="E90" s="8" t="s">
        <v>39</v>
      </c>
    </row>
    <row r="91" customFormat="false" ht="30" hidden="false" customHeight="true" outlineLevel="0" collapsed="false">
      <c r="A91" s="5" t="n">
        <v>65</v>
      </c>
      <c r="B91" s="8" t="s">
        <v>119</v>
      </c>
      <c r="C91" s="5" t="s">
        <v>38</v>
      </c>
      <c r="D91" s="5" t="n">
        <f aca="false">_xlfn.IFS(C91="Yes",1,C91="Partial",0.5,C91="N/A","N/A",C91="No",0)</f>
        <v>1</v>
      </c>
      <c r="E91" s="8" t="s">
        <v>39</v>
      </c>
    </row>
    <row r="92" customFormat="false" ht="30" hidden="false" customHeight="true" outlineLevel="0" collapsed="false">
      <c r="A92" s="5" t="n">
        <v>66</v>
      </c>
      <c r="B92" s="8" t="s">
        <v>120</v>
      </c>
      <c r="C92" s="5" t="s">
        <v>38</v>
      </c>
      <c r="D92" s="5" t="n">
        <f aca="false">_xlfn.IFS(C92="Yes",1,C92="Partial",0.5,C92="N/A","N/A",C92="No",0)</f>
        <v>1</v>
      </c>
      <c r="E92" s="8" t="s">
        <v>39</v>
      </c>
    </row>
    <row r="93" customFormat="false" ht="30" hidden="false" customHeight="true" outlineLevel="0" collapsed="false">
      <c r="A93" s="5" t="n">
        <v>67</v>
      </c>
      <c r="B93" s="8" t="s">
        <v>121</v>
      </c>
      <c r="C93" s="5" t="s">
        <v>38</v>
      </c>
      <c r="D93" s="5" t="n">
        <f aca="false">_xlfn.IFS(C93="Yes",1,C93="Partial",0.5,C93="N/A","N/A",C93="No",0)</f>
        <v>1</v>
      </c>
      <c r="E93" s="8" t="s">
        <v>39</v>
      </c>
    </row>
    <row r="94" customFormat="false" ht="30" hidden="false" customHeight="true" outlineLevel="0" collapsed="false">
      <c r="A94" s="5" t="n">
        <v>68</v>
      </c>
      <c r="B94" s="8" t="s">
        <v>122</v>
      </c>
      <c r="C94" s="5" t="s">
        <v>38</v>
      </c>
      <c r="D94" s="5" t="n">
        <f aca="false">_xlfn.IFS(C94="Yes",1,C94="Partial",0.5,C94="N/A","N/A",C94="No",0)</f>
        <v>1</v>
      </c>
      <c r="E94" s="8" t="s">
        <v>39</v>
      </c>
    </row>
    <row r="95" customFormat="false" ht="30" hidden="false" customHeight="true" outlineLevel="0" collapsed="false">
      <c r="A95" s="5" t="n">
        <v>69</v>
      </c>
      <c r="B95" s="8" t="s">
        <v>123</v>
      </c>
      <c r="C95" s="5" t="s">
        <v>38</v>
      </c>
      <c r="D95" s="5" t="n">
        <f aca="false">_xlfn.IFS(C95="Yes",1,C95="Partial",0.5,C95="N/A","N/A",C95="No",0)</f>
        <v>1</v>
      </c>
      <c r="E95" s="8" t="s">
        <v>39</v>
      </c>
    </row>
    <row r="96" customFormat="false" ht="30" hidden="false" customHeight="true" outlineLevel="0" collapsed="false">
      <c r="A96" s="5" t="n">
        <v>70</v>
      </c>
      <c r="B96" s="8" t="s">
        <v>124</v>
      </c>
      <c r="C96" s="5" t="s">
        <v>38</v>
      </c>
      <c r="D96" s="5" t="n">
        <f aca="false">_xlfn.IFS(C96="Yes",1,C96="Partial",0.5,C96="N/A","N/A",C96="No",0)</f>
        <v>1</v>
      </c>
      <c r="E96" s="8" t="s">
        <v>39</v>
      </c>
    </row>
    <row r="97" customFormat="false" ht="30" hidden="false" customHeight="true" outlineLevel="0" collapsed="false">
      <c r="A97" s="5" t="n">
        <v>71</v>
      </c>
      <c r="B97" s="8" t="s">
        <v>125</v>
      </c>
      <c r="C97" s="5" t="s">
        <v>38</v>
      </c>
      <c r="D97" s="5" t="n">
        <f aca="false">_xlfn.IFS(C97="Yes",1,C97="Partial",0.5,C97="N/A","N/A",C97="No",0)</f>
        <v>1</v>
      </c>
      <c r="E97" s="8" t="s">
        <v>39</v>
      </c>
    </row>
    <row r="98" customFormat="false" ht="15" hidden="false" customHeight="true" outlineLevel="0" collapsed="false">
      <c r="A98" s="9"/>
      <c r="B98" s="10" t="s">
        <v>126</v>
      </c>
      <c r="C98" s="10"/>
      <c r="D98" s="11" t="n">
        <f aca="false">IFERROR(AVERAGEIF(D90:D97,"&lt;&gt;N/A",D90:D97),0)</f>
        <v>1</v>
      </c>
      <c r="E98" s="9"/>
    </row>
    <row r="100" customFormat="false" ht="15" hidden="false" customHeight="true" outlineLevel="0" collapsed="false">
      <c r="A100" s="12" t="s">
        <v>127</v>
      </c>
      <c r="B100" s="12"/>
      <c r="C100" s="12"/>
      <c r="D100" s="13" t="n">
        <f aca="false">AVERAGE(D15,D27,D39,D51,D63,D75,D87,D98)</f>
        <v>0.993055555555556</v>
      </c>
      <c r="E100" s="14"/>
    </row>
    <row r="101" customFormat="false" ht="15" hidden="false" customHeight="true" outlineLevel="0" collapsed="false">
      <c r="A101" s="12" t="s">
        <v>128</v>
      </c>
      <c r="B101" s="12"/>
      <c r="C101" s="12"/>
      <c r="D101" s="15" t="str">
        <f aca="false">_xlfn.IFS(D100&gt;=0.85,"Low Risk",D100&gt;=0.65,"Medium Risk",D100&gt;=0.45,"High Risk",D100&lt;0.45,"Critical Risk")</f>
        <v>Low Risk</v>
      </c>
      <c r="E101" s="14"/>
    </row>
  </sheetData>
  <mergeCells count="18">
    <mergeCell ref="A5:E5"/>
    <mergeCell ref="B15:C15"/>
    <mergeCell ref="A17:E17"/>
    <mergeCell ref="B27:C27"/>
    <mergeCell ref="A29:E29"/>
    <mergeCell ref="B39:C39"/>
    <mergeCell ref="A41:E41"/>
    <mergeCell ref="B51:C51"/>
    <mergeCell ref="A53:E53"/>
    <mergeCell ref="B63:C63"/>
    <mergeCell ref="A65:E65"/>
    <mergeCell ref="B75:C75"/>
    <mergeCell ref="A77:E77"/>
    <mergeCell ref="B87:C87"/>
    <mergeCell ref="A89:E89"/>
    <mergeCell ref="B98:C98"/>
    <mergeCell ref="A100:C100"/>
    <mergeCell ref="A101:C101"/>
  </mergeCells>
  <conditionalFormatting sqref="C5:C98">
    <cfRule type="cellIs" priority="2" operator="equal" aboveAverage="0" equalAverage="0" bottom="0" percent="0" rank="0" text="" dxfId="3">
      <formula>"Yes"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1">
      <formula>"No"</formula>
    </cfRule>
  </conditionalFormatting>
  <conditionalFormatting sqref="D101">
    <cfRule type="cellIs" priority="5" operator="equal" aboveAverage="0" equalAverage="0" bottom="0" percent="0" rank="0" text="" dxfId="0">
      <formula>"Critical Risk"</formula>
    </cfRule>
    <cfRule type="cellIs" priority="6" operator="equal" aboveAverage="0" equalAverage="0" bottom="0" percent="0" rank="0" text="" dxfId="1">
      <formula>"High Risk"</formula>
    </cfRule>
    <cfRule type="cellIs" priority="7" operator="equal" aboveAverage="0" equalAverage="0" bottom="0" percent="0" rank="0" text="" dxfId="2">
      <formula>"Medium Risk"</formula>
    </cfRule>
    <cfRule type="cellIs" priority="8" operator="equal" aboveAverage="0" equalAverage="0" bottom="0" percent="0" rank="0" text="" dxfId="3">
      <formula>"Low Risk"</formula>
    </cfRule>
  </conditionalFormatting>
  <dataValidations count="1">
    <dataValidation allowBlank="false" errorStyle="stop" operator="between" showDropDown="false" showErrorMessage="false" showInputMessage="false" sqref="C5:C98" type="list">
      <formula1>"Yes,Partial,No,N/A"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2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38"/>
  </cols>
  <sheetData>
    <row r="1" customFormat="false" ht="17.25" hidden="false" customHeight="true" outlineLevel="0" collapsed="false">
      <c r="A1" s="2" t="s">
        <v>133</v>
      </c>
    </row>
    <row r="2" customFormat="false" ht="15" hidden="false" customHeight="true" outlineLevel="0" collapsed="false">
      <c r="A2" s="3" t="s">
        <v>134</v>
      </c>
    </row>
    <row r="4" customFormat="false" ht="15" hidden="false" customHeight="true" outlineLevel="0" collapsed="false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</row>
    <row r="5" customFormat="false" ht="15" hidden="false" customHeight="true" outlineLevel="0" collapsed="false">
      <c r="A5" s="7" t="s">
        <v>36</v>
      </c>
      <c r="B5" s="7"/>
      <c r="C5" s="7"/>
      <c r="D5" s="7"/>
      <c r="E5" s="7"/>
    </row>
    <row r="6" customFormat="false" ht="30" hidden="false" customHeight="true" outlineLevel="0" collapsed="false">
      <c r="A6" s="5" t="n">
        <v>1</v>
      </c>
      <c r="B6" s="8" t="s">
        <v>37</v>
      </c>
      <c r="C6" s="5" t="s">
        <v>38</v>
      </c>
      <c r="D6" s="5" t="n">
        <f aca="false">_xlfn.IFS(C6="Yes",1,C6="Partial",0.5,C6="N/A","N/A",C6="No",0)</f>
        <v>1</v>
      </c>
      <c r="E6" s="8" t="s">
        <v>39</v>
      </c>
    </row>
    <row r="7" customFormat="false" ht="30" hidden="false" customHeight="true" outlineLevel="0" collapsed="false">
      <c r="A7" s="5" t="n">
        <v>2</v>
      </c>
      <c r="B7" s="8" t="s">
        <v>40</v>
      </c>
      <c r="C7" s="5" t="s">
        <v>38</v>
      </c>
      <c r="D7" s="5" t="n">
        <f aca="false">_xlfn.IFS(C7="Yes",1,C7="Partial",0.5,C7="N/A","N/A",C7="No",0)</f>
        <v>1</v>
      </c>
      <c r="E7" s="8" t="s">
        <v>39</v>
      </c>
    </row>
    <row r="8" customFormat="false" ht="30" hidden="false" customHeight="true" outlineLevel="0" collapsed="false">
      <c r="A8" s="5" t="n">
        <v>3</v>
      </c>
      <c r="B8" s="8" t="s">
        <v>41</v>
      </c>
      <c r="C8" s="5" t="s">
        <v>38</v>
      </c>
      <c r="D8" s="5" t="n">
        <f aca="false">_xlfn.IFS(C8="Yes",1,C8="Partial",0.5,C8="N/A","N/A",C8="No",0)</f>
        <v>1</v>
      </c>
      <c r="E8" s="8" t="s">
        <v>39</v>
      </c>
    </row>
    <row r="9" customFormat="false" ht="30" hidden="false" customHeight="true" outlineLevel="0" collapsed="false">
      <c r="A9" s="5" t="n">
        <v>4</v>
      </c>
      <c r="B9" s="8" t="s">
        <v>42</v>
      </c>
      <c r="C9" s="5" t="s">
        <v>38</v>
      </c>
      <c r="D9" s="5" t="n">
        <f aca="false">_xlfn.IFS(C9="Yes",1,C9="Partial",0.5,C9="N/A","N/A",C9="No",0)</f>
        <v>1</v>
      </c>
      <c r="E9" s="8" t="s">
        <v>39</v>
      </c>
    </row>
    <row r="10" customFormat="false" ht="30" hidden="false" customHeight="true" outlineLevel="0" collapsed="false">
      <c r="A10" s="5" t="n">
        <v>5</v>
      </c>
      <c r="B10" s="8" t="s">
        <v>43</v>
      </c>
      <c r="C10" s="5" t="s">
        <v>38</v>
      </c>
      <c r="D10" s="5" t="n">
        <f aca="false">_xlfn.IFS(C10="Yes",1,C10="Partial",0.5,C10="N/A","N/A",C10="No",0)</f>
        <v>1</v>
      </c>
      <c r="E10" s="8" t="s">
        <v>39</v>
      </c>
    </row>
    <row r="11" customFormat="false" ht="30" hidden="false" customHeight="true" outlineLevel="0" collapsed="false">
      <c r="A11" s="5" t="n">
        <v>6</v>
      </c>
      <c r="B11" s="8" t="s">
        <v>44</v>
      </c>
      <c r="C11" s="5" t="s">
        <v>38</v>
      </c>
      <c r="D11" s="5" t="n">
        <f aca="false">_xlfn.IFS(C11="Yes",1,C11="Partial",0.5,C11="N/A","N/A",C11="No",0)</f>
        <v>1</v>
      </c>
      <c r="E11" s="8" t="s">
        <v>39</v>
      </c>
    </row>
    <row r="12" customFormat="false" ht="30" hidden="false" customHeight="true" outlineLevel="0" collapsed="false">
      <c r="A12" s="5" t="n">
        <v>7</v>
      </c>
      <c r="B12" s="8" t="s">
        <v>45</v>
      </c>
      <c r="C12" s="5" t="s">
        <v>38</v>
      </c>
      <c r="D12" s="5" t="n">
        <f aca="false">_xlfn.IFS(C12="Yes",1,C12="Partial",0.5,C12="N/A","N/A",C12="No",0)</f>
        <v>1</v>
      </c>
      <c r="E12" s="8" t="s">
        <v>39</v>
      </c>
    </row>
    <row r="13" customFormat="false" ht="30" hidden="false" customHeight="true" outlineLevel="0" collapsed="false">
      <c r="A13" s="5" t="n">
        <v>8</v>
      </c>
      <c r="B13" s="8" t="s">
        <v>46</v>
      </c>
      <c r="C13" s="5" t="s">
        <v>38</v>
      </c>
      <c r="D13" s="5" t="n">
        <f aca="false">_xlfn.IFS(C13="Yes",1,C13="Partial",0.5,C13="N/A","N/A",C13="No",0)</f>
        <v>1</v>
      </c>
      <c r="E13" s="8" t="s">
        <v>39</v>
      </c>
    </row>
    <row r="14" customFormat="false" ht="30" hidden="false" customHeight="true" outlineLevel="0" collapsed="false">
      <c r="A14" s="5" t="n">
        <v>9</v>
      </c>
      <c r="B14" s="8" t="s">
        <v>47</v>
      </c>
      <c r="C14" s="5" t="s">
        <v>38</v>
      </c>
      <c r="D14" s="5" t="n">
        <f aca="false">_xlfn.IFS(C14="Yes",1,C14="Partial",0.5,C14="N/A","N/A",C14="No",0)</f>
        <v>1</v>
      </c>
      <c r="E14" s="8" t="s">
        <v>39</v>
      </c>
    </row>
    <row r="15" customFormat="false" ht="15" hidden="false" customHeight="true" outlineLevel="0" collapsed="false">
      <c r="A15" s="9"/>
      <c r="B15" s="10" t="s">
        <v>48</v>
      </c>
      <c r="C15" s="10"/>
      <c r="D15" s="11" t="n">
        <f aca="false">IFERROR(AVERAGEIF(D6:D14,"&lt;&gt;N/A",D6:D14),0)</f>
        <v>1</v>
      </c>
      <c r="E15" s="9"/>
    </row>
    <row r="17" customFormat="false" ht="15" hidden="false" customHeight="true" outlineLevel="0" collapsed="false">
      <c r="A17" s="7" t="s">
        <v>49</v>
      </c>
      <c r="B17" s="7"/>
      <c r="C17" s="7"/>
      <c r="D17" s="7"/>
      <c r="E17" s="7"/>
    </row>
    <row r="18" customFormat="false" ht="30" hidden="false" customHeight="true" outlineLevel="0" collapsed="false">
      <c r="A18" s="5" t="n">
        <v>10</v>
      </c>
      <c r="B18" s="8" t="s">
        <v>50</v>
      </c>
      <c r="C18" s="5" t="s">
        <v>38</v>
      </c>
      <c r="D18" s="5" t="n">
        <f aca="false">_xlfn.IFS(C18="Yes",1,C18="Partial",0.5,C18="N/A","N/A",C18="No",0)</f>
        <v>1</v>
      </c>
      <c r="E18" s="8" t="s">
        <v>39</v>
      </c>
    </row>
    <row r="19" customFormat="false" ht="30" hidden="false" customHeight="true" outlineLevel="0" collapsed="false">
      <c r="A19" s="5" t="n">
        <v>11</v>
      </c>
      <c r="B19" s="8" t="s">
        <v>51</v>
      </c>
      <c r="C19" s="5" t="s">
        <v>38</v>
      </c>
      <c r="D19" s="5" t="n">
        <f aca="false">_xlfn.IFS(C19="Yes",1,C19="Partial",0.5,C19="N/A","N/A",C19="No",0)</f>
        <v>1</v>
      </c>
      <c r="E19" s="8" t="s">
        <v>39</v>
      </c>
    </row>
    <row r="20" customFormat="false" ht="30" hidden="false" customHeight="true" outlineLevel="0" collapsed="false">
      <c r="A20" s="5" t="n">
        <v>12</v>
      </c>
      <c r="B20" s="8" t="s">
        <v>52</v>
      </c>
      <c r="C20" s="5" t="s">
        <v>38</v>
      </c>
      <c r="D20" s="5" t="n">
        <f aca="false">_xlfn.IFS(C20="Yes",1,C20="Partial",0.5,C20="N/A","N/A",C20="No",0)</f>
        <v>1</v>
      </c>
      <c r="E20" s="8" t="s">
        <v>39</v>
      </c>
    </row>
    <row r="21" customFormat="false" ht="30" hidden="false" customHeight="true" outlineLevel="0" collapsed="false">
      <c r="A21" s="5" t="n">
        <v>13</v>
      </c>
      <c r="B21" s="8" t="s">
        <v>53</v>
      </c>
      <c r="C21" s="5" t="s">
        <v>38</v>
      </c>
      <c r="D21" s="5" t="n">
        <f aca="false">_xlfn.IFS(C21="Yes",1,C21="Partial",0.5,C21="N/A","N/A",C21="No",0)</f>
        <v>1</v>
      </c>
      <c r="E21" s="8" t="s">
        <v>39</v>
      </c>
    </row>
    <row r="22" customFormat="false" ht="30" hidden="false" customHeight="true" outlineLevel="0" collapsed="false">
      <c r="A22" s="5" t="n">
        <v>14</v>
      </c>
      <c r="B22" s="8" t="s">
        <v>54</v>
      </c>
      <c r="C22" s="5" t="s">
        <v>38</v>
      </c>
      <c r="D22" s="5" t="n">
        <f aca="false">_xlfn.IFS(C22="Yes",1,C22="Partial",0.5,C22="N/A","N/A",C22="No",0)</f>
        <v>1</v>
      </c>
      <c r="E22" s="8" t="s">
        <v>39</v>
      </c>
    </row>
    <row r="23" customFormat="false" ht="30" hidden="false" customHeight="true" outlineLevel="0" collapsed="false">
      <c r="A23" s="5" t="n">
        <v>15</v>
      </c>
      <c r="B23" s="8" t="s">
        <v>55</v>
      </c>
      <c r="C23" s="5" t="s">
        <v>38</v>
      </c>
      <c r="D23" s="5" t="n">
        <f aca="false">_xlfn.IFS(C23="Yes",1,C23="Partial",0.5,C23="N/A","N/A",C23="No",0)</f>
        <v>1</v>
      </c>
      <c r="E23" s="8" t="s">
        <v>39</v>
      </c>
    </row>
    <row r="24" customFormat="false" ht="30" hidden="false" customHeight="true" outlineLevel="0" collapsed="false">
      <c r="A24" s="5" t="n">
        <v>16</v>
      </c>
      <c r="B24" s="8" t="s">
        <v>56</v>
      </c>
      <c r="C24" s="5" t="s">
        <v>38</v>
      </c>
      <c r="D24" s="5" t="n">
        <f aca="false">_xlfn.IFS(C24="Yes",1,C24="Partial",0.5,C24="N/A","N/A",C24="No",0)</f>
        <v>1</v>
      </c>
      <c r="E24" s="8" t="s">
        <v>39</v>
      </c>
    </row>
    <row r="25" customFormat="false" ht="30" hidden="false" customHeight="true" outlineLevel="0" collapsed="false">
      <c r="A25" s="5" t="n">
        <v>17</v>
      </c>
      <c r="B25" s="8" t="s">
        <v>57</v>
      </c>
      <c r="C25" s="5" t="s">
        <v>38</v>
      </c>
      <c r="D25" s="5" t="n">
        <f aca="false">_xlfn.IFS(C25="Yes",1,C25="Partial",0.5,C25="N/A","N/A",C25="No",0)</f>
        <v>1</v>
      </c>
      <c r="E25" s="8" t="s">
        <v>39</v>
      </c>
    </row>
    <row r="26" customFormat="false" ht="30" hidden="false" customHeight="true" outlineLevel="0" collapsed="false">
      <c r="A26" s="5" t="n">
        <v>18</v>
      </c>
      <c r="B26" s="8" t="s">
        <v>58</v>
      </c>
      <c r="C26" s="5" t="s">
        <v>38</v>
      </c>
      <c r="D26" s="5" t="n">
        <f aca="false">_xlfn.IFS(C26="Yes",1,C26="Partial",0.5,C26="N/A","N/A",C26="No",0)</f>
        <v>1</v>
      </c>
      <c r="E26" s="8" t="s">
        <v>39</v>
      </c>
    </row>
    <row r="27" customFormat="false" ht="15" hidden="false" customHeight="true" outlineLevel="0" collapsed="false">
      <c r="A27" s="9"/>
      <c r="B27" s="10" t="s">
        <v>59</v>
      </c>
      <c r="C27" s="10"/>
      <c r="D27" s="11" t="n">
        <f aca="false">IFERROR(AVERAGEIF(D18:D26,"&lt;&gt;N/A",D18:D26),0)</f>
        <v>1</v>
      </c>
      <c r="E27" s="9"/>
    </row>
    <row r="29" customFormat="false" ht="15" hidden="false" customHeight="true" outlineLevel="0" collapsed="false">
      <c r="A29" s="7" t="s">
        <v>60</v>
      </c>
      <c r="B29" s="7"/>
      <c r="C29" s="7"/>
      <c r="D29" s="7"/>
      <c r="E29" s="7"/>
    </row>
    <row r="30" customFormat="false" ht="30" hidden="false" customHeight="true" outlineLevel="0" collapsed="false">
      <c r="A30" s="5" t="n">
        <v>19</v>
      </c>
      <c r="B30" s="8" t="s">
        <v>61</v>
      </c>
      <c r="C30" s="5" t="s">
        <v>38</v>
      </c>
      <c r="D30" s="5" t="n">
        <f aca="false">_xlfn.IFS(C30="Yes",1,C30="Partial",0.5,C30="N/A","N/A",C30="No",0)</f>
        <v>1</v>
      </c>
      <c r="E30" s="8" t="s">
        <v>39</v>
      </c>
    </row>
    <row r="31" customFormat="false" ht="30" hidden="false" customHeight="true" outlineLevel="0" collapsed="false">
      <c r="A31" s="5" t="n">
        <v>20</v>
      </c>
      <c r="B31" s="8" t="s">
        <v>62</v>
      </c>
      <c r="C31" s="5" t="s">
        <v>38</v>
      </c>
      <c r="D31" s="5" t="n">
        <f aca="false">_xlfn.IFS(C31="Yes",1,C31="Partial",0.5,C31="N/A","N/A",C31="No",0)</f>
        <v>1</v>
      </c>
      <c r="E31" s="8" t="s">
        <v>39</v>
      </c>
    </row>
    <row r="32" customFormat="false" ht="30" hidden="false" customHeight="true" outlineLevel="0" collapsed="false">
      <c r="A32" s="5" t="n">
        <v>21</v>
      </c>
      <c r="B32" s="8" t="s">
        <v>63</v>
      </c>
      <c r="C32" s="5" t="s">
        <v>38</v>
      </c>
      <c r="D32" s="5" t="n">
        <f aca="false">_xlfn.IFS(C32="Yes",1,C32="Partial",0.5,C32="N/A","N/A",C32="No",0)</f>
        <v>1</v>
      </c>
      <c r="E32" s="8" t="s">
        <v>39</v>
      </c>
    </row>
    <row r="33" customFormat="false" ht="30" hidden="false" customHeight="true" outlineLevel="0" collapsed="false">
      <c r="A33" s="5" t="n">
        <v>22</v>
      </c>
      <c r="B33" s="8" t="s">
        <v>64</v>
      </c>
      <c r="C33" s="5" t="s">
        <v>38</v>
      </c>
      <c r="D33" s="5" t="n">
        <f aca="false">_xlfn.IFS(C33="Yes",1,C33="Partial",0.5,C33="N/A","N/A",C33="No",0)</f>
        <v>1</v>
      </c>
      <c r="E33" s="8" t="s">
        <v>39</v>
      </c>
    </row>
    <row r="34" customFormat="false" ht="30" hidden="false" customHeight="true" outlineLevel="0" collapsed="false">
      <c r="A34" s="5" t="n">
        <v>23</v>
      </c>
      <c r="B34" s="8" t="s">
        <v>65</v>
      </c>
      <c r="C34" s="5" t="s">
        <v>38</v>
      </c>
      <c r="D34" s="5" t="n">
        <f aca="false">_xlfn.IFS(C34="Yes",1,C34="Partial",0.5,C34="N/A","N/A",C34="No",0)</f>
        <v>1</v>
      </c>
      <c r="E34" s="8" t="s">
        <v>39</v>
      </c>
    </row>
    <row r="35" customFormat="false" ht="30" hidden="false" customHeight="true" outlineLevel="0" collapsed="false">
      <c r="A35" s="5" t="n">
        <v>24</v>
      </c>
      <c r="B35" s="8" t="s">
        <v>66</v>
      </c>
      <c r="C35" s="5" t="s">
        <v>38</v>
      </c>
      <c r="D35" s="5" t="n">
        <f aca="false">_xlfn.IFS(C35="Yes",1,C35="Partial",0.5,C35="N/A","N/A",C35="No",0)</f>
        <v>1</v>
      </c>
      <c r="E35" s="8" t="s">
        <v>39</v>
      </c>
    </row>
    <row r="36" customFormat="false" ht="30" hidden="false" customHeight="true" outlineLevel="0" collapsed="false">
      <c r="A36" s="5" t="n">
        <v>25</v>
      </c>
      <c r="B36" s="8" t="s">
        <v>67</v>
      </c>
      <c r="C36" s="5" t="s">
        <v>38</v>
      </c>
      <c r="D36" s="5" t="n">
        <f aca="false">_xlfn.IFS(C36="Yes",1,C36="Partial",0.5,C36="N/A","N/A",C36="No",0)</f>
        <v>1</v>
      </c>
      <c r="E36" s="8" t="s">
        <v>39</v>
      </c>
    </row>
    <row r="37" customFormat="false" ht="30" hidden="false" customHeight="true" outlineLevel="0" collapsed="false">
      <c r="A37" s="5" t="n">
        <v>26</v>
      </c>
      <c r="B37" s="8" t="s">
        <v>68</v>
      </c>
      <c r="C37" s="5" t="s">
        <v>38</v>
      </c>
      <c r="D37" s="5" t="n">
        <f aca="false">_xlfn.IFS(C37="Yes",1,C37="Partial",0.5,C37="N/A","N/A",C37="No",0)</f>
        <v>1</v>
      </c>
      <c r="E37" s="8" t="s">
        <v>39</v>
      </c>
    </row>
    <row r="38" customFormat="false" ht="30" hidden="false" customHeight="true" outlineLevel="0" collapsed="false">
      <c r="A38" s="5" t="n">
        <v>27</v>
      </c>
      <c r="B38" s="8" t="s">
        <v>69</v>
      </c>
      <c r="C38" s="5" t="s">
        <v>38</v>
      </c>
      <c r="D38" s="5" t="n">
        <f aca="false">_xlfn.IFS(C38="Yes",1,C38="Partial",0.5,C38="N/A","N/A",C38="No",0)</f>
        <v>1</v>
      </c>
      <c r="E38" s="8" t="s">
        <v>39</v>
      </c>
    </row>
    <row r="39" customFormat="false" ht="15" hidden="false" customHeight="true" outlineLevel="0" collapsed="false">
      <c r="A39" s="9"/>
      <c r="B39" s="10" t="s">
        <v>70</v>
      </c>
      <c r="C39" s="10"/>
      <c r="D39" s="11" t="n">
        <f aca="false">IFERROR(AVERAGEIF(D30:D38,"&lt;&gt;N/A",D30:D38),0)</f>
        <v>1</v>
      </c>
      <c r="E39" s="9"/>
    </row>
    <row r="41" customFormat="false" ht="15" hidden="false" customHeight="true" outlineLevel="0" collapsed="false">
      <c r="A41" s="7" t="s">
        <v>71</v>
      </c>
      <c r="B41" s="7"/>
      <c r="C41" s="7"/>
      <c r="D41" s="7"/>
      <c r="E41" s="7"/>
    </row>
    <row r="42" customFormat="false" ht="30" hidden="false" customHeight="true" outlineLevel="0" collapsed="false">
      <c r="A42" s="5" t="n">
        <v>28</v>
      </c>
      <c r="B42" s="8" t="s">
        <v>72</v>
      </c>
      <c r="C42" s="5" t="s">
        <v>38</v>
      </c>
      <c r="D42" s="5" t="n">
        <f aca="false">_xlfn.IFS(C42="Yes",1,C42="Partial",0.5,C42="N/A","N/A",C42="No",0)</f>
        <v>1</v>
      </c>
      <c r="E42" s="8" t="s">
        <v>39</v>
      </c>
    </row>
    <row r="43" customFormat="false" ht="30" hidden="false" customHeight="true" outlineLevel="0" collapsed="false">
      <c r="A43" s="5" t="n">
        <v>29</v>
      </c>
      <c r="B43" s="8" t="s">
        <v>73</v>
      </c>
      <c r="C43" s="5" t="s">
        <v>38</v>
      </c>
      <c r="D43" s="5" t="n">
        <f aca="false">_xlfn.IFS(C43="Yes",1,C43="Partial",0.5,C43="N/A","N/A",C43="No",0)</f>
        <v>1</v>
      </c>
      <c r="E43" s="8" t="s">
        <v>39</v>
      </c>
    </row>
    <row r="44" customFormat="false" ht="30" hidden="false" customHeight="true" outlineLevel="0" collapsed="false">
      <c r="A44" s="5" t="n">
        <v>30</v>
      </c>
      <c r="B44" s="8" t="s">
        <v>74</v>
      </c>
      <c r="C44" s="5" t="s">
        <v>38</v>
      </c>
      <c r="D44" s="5" t="n">
        <f aca="false">_xlfn.IFS(C44="Yes",1,C44="Partial",0.5,C44="N/A","N/A",C44="No",0)</f>
        <v>1</v>
      </c>
      <c r="E44" s="8" t="s">
        <v>39</v>
      </c>
    </row>
    <row r="45" customFormat="false" ht="30" hidden="false" customHeight="true" outlineLevel="0" collapsed="false">
      <c r="A45" s="5" t="n">
        <v>31</v>
      </c>
      <c r="B45" s="8" t="s">
        <v>75</v>
      </c>
      <c r="C45" s="5" t="s">
        <v>38</v>
      </c>
      <c r="D45" s="5" t="n">
        <f aca="false">_xlfn.IFS(C45="Yes",1,C45="Partial",0.5,C45="N/A","N/A",C45="No",0)</f>
        <v>1</v>
      </c>
      <c r="E45" s="8" t="s">
        <v>39</v>
      </c>
    </row>
    <row r="46" customFormat="false" ht="30" hidden="false" customHeight="true" outlineLevel="0" collapsed="false">
      <c r="A46" s="5" t="n">
        <v>32</v>
      </c>
      <c r="B46" s="8" t="s">
        <v>76</v>
      </c>
      <c r="C46" s="5" t="s">
        <v>38</v>
      </c>
      <c r="D46" s="5" t="n">
        <f aca="false">_xlfn.IFS(C46="Yes",1,C46="Partial",0.5,C46="N/A","N/A",C46="No",0)</f>
        <v>1</v>
      </c>
      <c r="E46" s="8" t="s">
        <v>39</v>
      </c>
    </row>
    <row r="47" customFormat="false" ht="30" hidden="false" customHeight="true" outlineLevel="0" collapsed="false">
      <c r="A47" s="5" t="n">
        <v>33</v>
      </c>
      <c r="B47" s="8" t="s">
        <v>77</v>
      </c>
      <c r="C47" s="5" t="s">
        <v>38</v>
      </c>
      <c r="D47" s="5" t="n">
        <f aca="false">_xlfn.IFS(C47="Yes",1,C47="Partial",0.5,C47="N/A","N/A",C47="No",0)</f>
        <v>1</v>
      </c>
      <c r="E47" s="8" t="s">
        <v>39</v>
      </c>
    </row>
    <row r="48" customFormat="false" ht="30" hidden="false" customHeight="true" outlineLevel="0" collapsed="false">
      <c r="A48" s="5" t="n">
        <v>34</v>
      </c>
      <c r="B48" s="8" t="s">
        <v>78</v>
      </c>
      <c r="C48" s="5" t="s">
        <v>38</v>
      </c>
      <c r="D48" s="5" t="n">
        <f aca="false">_xlfn.IFS(C48="Yes",1,C48="Partial",0.5,C48="N/A","N/A",C48="No",0)</f>
        <v>1</v>
      </c>
      <c r="E48" s="8" t="s">
        <v>39</v>
      </c>
    </row>
    <row r="49" customFormat="false" ht="30" hidden="false" customHeight="true" outlineLevel="0" collapsed="false">
      <c r="A49" s="5" t="n">
        <v>35</v>
      </c>
      <c r="B49" s="8" t="s">
        <v>79</v>
      </c>
      <c r="C49" s="5" t="s">
        <v>38</v>
      </c>
      <c r="D49" s="5" t="n">
        <f aca="false">_xlfn.IFS(C49="Yes",1,C49="Partial",0.5,C49="N/A","N/A",C49="No",0)</f>
        <v>1</v>
      </c>
      <c r="E49" s="8" t="s">
        <v>39</v>
      </c>
    </row>
    <row r="50" customFormat="false" ht="30" hidden="false" customHeight="true" outlineLevel="0" collapsed="false">
      <c r="A50" s="5" t="n">
        <v>36</v>
      </c>
      <c r="B50" s="8" t="s">
        <v>80</v>
      </c>
      <c r="C50" s="5" t="s">
        <v>38</v>
      </c>
      <c r="D50" s="5" t="n">
        <f aca="false">_xlfn.IFS(C50="Yes",1,C50="Partial",0.5,C50="N/A","N/A",C50="No",0)</f>
        <v>1</v>
      </c>
      <c r="E50" s="8" t="s">
        <v>39</v>
      </c>
    </row>
    <row r="51" customFormat="false" ht="15" hidden="false" customHeight="true" outlineLevel="0" collapsed="false">
      <c r="A51" s="9"/>
      <c r="B51" s="10" t="s">
        <v>81</v>
      </c>
      <c r="C51" s="10"/>
      <c r="D51" s="11" t="n">
        <f aca="false">IFERROR(AVERAGEIF(D42:D50,"&lt;&gt;N/A",D42:D50),0)</f>
        <v>1</v>
      </c>
      <c r="E51" s="9"/>
    </row>
    <row r="53" customFormat="false" ht="15" hidden="false" customHeight="true" outlineLevel="0" collapsed="false">
      <c r="A53" s="7" t="s">
        <v>82</v>
      </c>
      <c r="B53" s="7"/>
      <c r="C53" s="7"/>
      <c r="D53" s="7"/>
      <c r="E53" s="7"/>
    </row>
    <row r="54" customFormat="false" ht="30" hidden="false" customHeight="true" outlineLevel="0" collapsed="false">
      <c r="A54" s="5" t="n">
        <v>37</v>
      </c>
      <c r="B54" s="8" t="s">
        <v>83</v>
      </c>
      <c r="C54" s="5" t="s">
        <v>38</v>
      </c>
      <c r="D54" s="5" t="n">
        <f aca="false">_xlfn.IFS(C54="Yes",1,C54="Partial",0.5,C54="N/A","N/A",C54="No",0)</f>
        <v>1</v>
      </c>
      <c r="E54" s="8" t="s">
        <v>39</v>
      </c>
    </row>
    <row r="55" customFormat="false" ht="30" hidden="false" customHeight="true" outlineLevel="0" collapsed="false">
      <c r="A55" s="5" t="n">
        <v>38</v>
      </c>
      <c r="B55" s="8" t="s">
        <v>84</v>
      </c>
      <c r="C55" s="5" t="s">
        <v>38</v>
      </c>
      <c r="D55" s="5" t="n">
        <f aca="false">_xlfn.IFS(C55="Yes",1,C55="Partial",0.5,C55="N/A","N/A",C55="No",0)</f>
        <v>1</v>
      </c>
      <c r="E55" s="8" t="s">
        <v>39</v>
      </c>
    </row>
    <row r="56" customFormat="false" ht="30" hidden="false" customHeight="true" outlineLevel="0" collapsed="false">
      <c r="A56" s="5" t="n">
        <v>39</v>
      </c>
      <c r="B56" s="8" t="s">
        <v>85</v>
      </c>
      <c r="C56" s="5" t="s">
        <v>38</v>
      </c>
      <c r="D56" s="5" t="n">
        <f aca="false">_xlfn.IFS(C56="Yes",1,C56="Partial",0.5,C56="N/A","N/A",C56="No",0)</f>
        <v>1</v>
      </c>
      <c r="E56" s="8" t="s">
        <v>39</v>
      </c>
    </row>
    <row r="57" customFormat="false" ht="30" hidden="false" customHeight="true" outlineLevel="0" collapsed="false">
      <c r="A57" s="5" t="n">
        <v>40</v>
      </c>
      <c r="B57" s="8" t="s">
        <v>86</v>
      </c>
      <c r="C57" s="5" t="s">
        <v>38</v>
      </c>
      <c r="D57" s="5" t="n">
        <f aca="false">_xlfn.IFS(C57="Yes",1,C57="Partial",0.5,C57="N/A","N/A",C57="No",0)</f>
        <v>1</v>
      </c>
      <c r="E57" s="8" t="s">
        <v>39</v>
      </c>
    </row>
    <row r="58" customFormat="false" ht="30" hidden="false" customHeight="true" outlineLevel="0" collapsed="false">
      <c r="A58" s="5" t="n">
        <v>41</v>
      </c>
      <c r="B58" s="8" t="s">
        <v>87</v>
      </c>
      <c r="C58" s="5" t="s">
        <v>38</v>
      </c>
      <c r="D58" s="5" t="n">
        <f aca="false">_xlfn.IFS(C58="Yes",1,C58="Partial",0.5,C58="N/A","N/A",C58="No",0)</f>
        <v>1</v>
      </c>
      <c r="E58" s="8" t="s">
        <v>39</v>
      </c>
    </row>
    <row r="59" customFormat="false" ht="30" hidden="false" customHeight="true" outlineLevel="0" collapsed="false">
      <c r="A59" s="5" t="n">
        <v>42</v>
      </c>
      <c r="B59" s="8" t="s">
        <v>88</v>
      </c>
      <c r="C59" s="5" t="s">
        <v>38</v>
      </c>
      <c r="D59" s="5" t="n">
        <f aca="false">_xlfn.IFS(C59="Yes",1,C59="Partial",0.5,C59="N/A","N/A",C59="No",0)</f>
        <v>1</v>
      </c>
      <c r="E59" s="8" t="s">
        <v>39</v>
      </c>
    </row>
    <row r="60" customFormat="false" ht="30" hidden="false" customHeight="true" outlineLevel="0" collapsed="false">
      <c r="A60" s="5" t="n">
        <v>43</v>
      </c>
      <c r="B60" s="8" t="s">
        <v>89</v>
      </c>
      <c r="C60" s="5" t="s">
        <v>38</v>
      </c>
      <c r="D60" s="5" t="n">
        <f aca="false">_xlfn.IFS(C60="Yes",1,C60="Partial",0.5,C60="N/A","N/A",C60="No",0)</f>
        <v>1</v>
      </c>
      <c r="E60" s="8" t="s">
        <v>39</v>
      </c>
    </row>
    <row r="61" customFormat="false" ht="30" hidden="false" customHeight="true" outlineLevel="0" collapsed="false">
      <c r="A61" s="5" t="n">
        <v>44</v>
      </c>
      <c r="B61" s="8" t="s">
        <v>90</v>
      </c>
      <c r="C61" s="5" t="s">
        <v>38</v>
      </c>
      <c r="D61" s="5" t="n">
        <f aca="false">_xlfn.IFS(C61="Yes",1,C61="Partial",0.5,C61="N/A","N/A",C61="No",0)</f>
        <v>1</v>
      </c>
      <c r="E61" s="8" t="s">
        <v>39</v>
      </c>
    </row>
    <row r="62" customFormat="false" ht="30" hidden="false" customHeight="true" outlineLevel="0" collapsed="false">
      <c r="A62" s="5" t="n">
        <v>45</v>
      </c>
      <c r="B62" s="8" t="s">
        <v>91</v>
      </c>
      <c r="C62" s="5" t="s">
        <v>38</v>
      </c>
      <c r="D62" s="5" t="n">
        <f aca="false">_xlfn.IFS(C62="Yes",1,C62="Partial",0.5,C62="N/A","N/A",C62="No",0)</f>
        <v>1</v>
      </c>
      <c r="E62" s="8" t="s">
        <v>39</v>
      </c>
    </row>
    <row r="63" customFormat="false" ht="15" hidden="false" customHeight="true" outlineLevel="0" collapsed="false">
      <c r="A63" s="9"/>
      <c r="B63" s="10" t="s">
        <v>92</v>
      </c>
      <c r="C63" s="10"/>
      <c r="D63" s="11" t="n">
        <f aca="false">IFERROR(AVERAGEIF(D54:D62,"&lt;&gt;N/A",D54:D62),0)</f>
        <v>1</v>
      </c>
      <c r="E63" s="9"/>
    </row>
    <row r="65" customFormat="false" ht="15" hidden="false" customHeight="true" outlineLevel="0" collapsed="false">
      <c r="A65" s="7" t="s">
        <v>93</v>
      </c>
      <c r="B65" s="7"/>
      <c r="C65" s="7"/>
      <c r="D65" s="7"/>
      <c r="E65" s="7"/>
    </row>
    <row r="66" customFormat="false" ht="30" hidden="false" customHeight="true" outlineLevel="0" collapsed="false">
      <c r="A66" s="5" t="n">
        <v>46</v>
      </c>
      <c r="B66" s="8" t="s">
        <v>94</v>
      </c>
      <c r="C66" s="5" t="s">
        <v>38</v>
      </c>
      <c r="D66" s="5" t="n">
        <f aca="false">_xlfn.IFS(C66="Yes",1,C66="Partial",0.5,C66="N/A","N/A",C66="No",0)</f>
        <v>1</v>
      </c>
      <c r="E66" s="8" t="s">
        <v>39</v>
      </c>
    </row>
    <row r="67" customFormat="false" ht="30" hidden="false" customHeight="true" outlineLevel="0" collapsed="false">
      <c r="A67" s="5" t="n">
        <v>47</v>
      </c>
      <c r="B67" s="8" t="s">
        <v>95</v>
      </c>
      <c r="C67" s="5" t="s">
        <v>38</v>
      </c>
      <c r="D67" s="5" t="n">
        <f aca="false">_xlfn.IFS(C67="Yes",1,C67="Partial",0.5,C67="N/A","N/A",C67="No",0)</f>
        <v>1</v>
      </c>
      <c r="E67" s="8" t="s">
        <v>39</v>
      </c>
    </row>
    <row r="68" customFormat="false" ht="30" hidden="false" customHeight="true" outlineLevel="0" collapsed="false">
      <c r="A68" s="5" t="n">
        <v>48</v>
      </c>
      <c r="B68" s="8" t="s">
        <v>96</v>
      </c>
      <c r="C68" s="5" t="s">
        <v>38</v>
      </c>
      <c r="D68" s="5" t="n">
        <f aca="false">_xlfn.IFS(C68="Yes",1,C68="Partial",0.5,C68="N/A","N/A",C68="No",0)</f>
        <v>1</v>
      </c>
      <c r="E68" s="8" t="s">
        <v>39</v>
      </c>
    </row>
    <row r="69" customFormat="false" ht="30" hidden="false" customHeight="true" outlineLevel="0" collapsed="false">
      <c r="A69" s="5" t="n">
        <v>49</v>
      </c>
      <c r="B69" s="8" t="s">
        <v>97</v>
      </c>
      <c r="C69" s="5" t="s">
        <v>38</v>
      </c>
      <c r="D69" s="5" t="n">
        <f aca="false">_xlfn.IFS(C69="Yes",1,C69="Partial",0.5,C69="N/A","N/A",C69="No",0)</f>
        <v>1</v>
      </c>
      <c r="E69" s="8" t="s">
        <v>39</v>
      </c>
    </row>
    <row r="70" customFormat="false" ht="30" hidden="false" customHeight="true" outlineLevel="0" collapsed="false">
      <c r="A70" s="5" t="n">
        <v>50</v>
      </c>
      <c r="B70" s="8" t="s">
        <v>98</v>
      </c>
      <c r="C70" s="5" t="s">
        <v>38</v>
      </c>
      <c r="D70" s="5" t="n">
        <f aca="false">_xlfn.IFS(C70="Yes",1,C70="Partial",0.5,C70="N/A","N/A",C70="No",0)</f>
        <v>1</v>
      </c>
      <c r="E70" s="8" t="s">
        <v>39</v>
      </c>
    </row>
    <row r="71" customFormat="false" ht="30" hidden="false" customHeight="true" outlineLevel="0" collapsed="false">
      <c r="A71" s="5" t="n">
        <v>51</v>
      </c>
      <c r="B71" s="8" t="s">
        <v>99</v>
      </c>
      <c r="C71" s="5" t="s">
        <v>38</v>
      </c>
      <c r="D71" s="5" t="n">
        <f aca="false">_xlfn.IFS(C71="Yes",1,C71="Partial",0.5,C71="N/A","N/A",C71="No",0)</f>
        <v>1</v>
      </c>
      <c r="E71" s="8" t="s">
        <v>39</v>
      </c>
    </row>
    <row r="72" customFormat="false" ht="30" hidden="false" customHeight="true" outlineLevel="0" collapsed="false">
      <c r="A72" s="5" t="n">
        <v>52</v>
      </c>
      <c r="B72" s="8" t="s">
        <v>100</v>
      </c>
      <c r="C72" s="5" t="s">
        <v>38</v>
      </c>
      <c r="D72" s="5" t="n">
        <f aca="false">_xlfn.IFS(C72="Yes",1,C72="Partial",0.5,C72="N/A","N/A",C72="No",0)</f>
        <v>1</v>
      </c>
      <c r="E72" s="8" t="s">
        <v>39</v>
      </c>
    </row>
    <row r="73" customFormat="false" ht="30" hidden="false" customHeight="true" outlineLevel="0" collapsed="false">
      <c r="A73" s="5" t="n">
        <v>53</v>
      </c>
      <c r="B73" s="8" t="s">
        <v>101</v>
      </c>
      <c r="C73" s="5" t="s">
        <v>38</v>
      </c>
      <c r="D73" s="5" t="n">
        <f aca="false">_xlfn.IFS(C73="Yes",1,C73="Partial",0.5,C73="N/A","N/A",C73="No",0)</f>
        <v>1</v>
      </c>
      <c r="E73" s="8" t="s">
        <v>39</v>
      </c>
    </row>
    <row r="74" customFormat="false" ht="30" hidden="false" customHeight="true" outlineLevel="0" collapsed="false">
      <c r="A74" s="5" t="n">
        <v>54</v>
      </c>
      <c r="B74" s="8" t="s">
        <v>102</v>
      </c>
      <c r="C74" s="5" t="s">
        <v>38</v>
      </c>
      <c r="D74" s="5" t="n">
        <f aca="false">_xlfn.IFS(C74="Yes",1,C74="Partial",0.5,C74="N/A","N/A",C74="No",0)</f>
        <v>1</v>
      </c>
      <c r="E74" s="8" t="s">
        <v>39</v>
      </c>
    </row>
    <row r="75" customFormat="false" ht="15" hidden="false" customHeight="true" outlineLevel="0" collapsed="false">
      <c r="A75" s="9"/>
      <c r="B75" s="10" t="s">
        <v>103</v>
      </c>
      <c r="C75" s="10"/>
      <c r="D75" s="11" t="n">
        <f aca="false">IFERROR(AVERAGEIF(D66:D74,"&lt;&gt;N/A",D66:D74),0)</f>
        <v>1</v>
      </c>
      <c r="E75" s="9"/>
    </row>
    <row r="77" customFormat="false" ht="15" hidden="false" customHeight="true" outlineLevel="0" collapsed="false">
      <c r="A77" s="7" t="s">
        <v>104</v>
      </c>
      <c r="B77" s="7"/>
      <c r="C77" s="7"/>
      <c r="D77" s="7"/>
      <c r="E77" s="7"/>
    </row>
    <row r="78" customFormat="false" ht="30" hidden="false" customHeight="true" outlineLevel="0" collapsed="false">
      <c r="A78" s="5" t="n">
        <v>55</v>
      </c>
      <c r="B78" s="8" t="s">
        <v>105</v>
      </c>
      <c r="C78" s="5" t="s">
        <v>38</v>
      </c>
      <c r="D78" s="5" t="n">
        <f aca="false">_xlfn.IFS(C78="Yes",1,C78="Partial",0.5,C78="N/A","N/A",C78="No",0)</f>
        <v>1</v>
      </c>
      <c r="E78" s="8" t="s">
        <v>39</v>
      </c>
    </row>
    <row r="79" customFormat="false" ht="30" hidden="false" customHeight="true" outlineLevel="0" collapsed="false">
      <c r="A79" s="5" t="n">
        <v>56</v>
      </c>
      <c r="B79" s="8" t="s">
        <v>106</v>
      </c>
      <c r="C79" s="5" t="s">
        <v>38</v>
      </c>
      <c r="D79" s="5" t="n">
        <f aca="false">_xlfn.IFS(C79="Yes",1,C79="Partial",0.5,C79="N/A","N/A",C79="No",0)</f>
        <v>1</v>
      </c>
      <c r="E79" s="8" t="s">
        <v>39</v>
      </c>
    </row>
    <row r="80" customFormat="false" ht="30" hidden="false" customHeight="true" outlineLevel="0" collapsed="false">
      <c r="A80" s="5" t="n">
        <v>57</v>
      </c>
      <c r="B80" s="8" t="s">
        <v>107</v>
      </c>
      <c r="C80" s="5" t="s">
        <v>108</v>
      </c>
      <c r="D80" s="5" t="str">
        <f aca="false">_xlfn.IFS(C80="Yes",1,C80="Partial",0.5,C80="N/A","N/A",C80="No",0)</f>
        <v>N/A</v>
      </c>
      <c r="E80" s="8" t="s">
        <v>109</v>
      </c>
    </row>
    <row r="81" customFormat="false" ht="30" hidden="false" customHeight="true" outlineLevel="0" collapsed="false">
      <c r="A81" s="5" t="n">
        <v>58</v>
      </c>
      <c r="B81" s="8" t="s">
        <v>110</v>
      </c>
      <c r="C81" s="5" t="s">
        <v>38</v>
      </c>
      <c r="D81" s="5" t="n">
        <f aca="false">_xlfn.IFS(C81="Yes",1,C81="Partial",0.5,C81="N/A","N/A",C81="No",0)</f>
        <v>1</v>
      </c>
      <c r="E81" s="8" t="s">
        <v>39</v>
      </c>
    </row>
    <row r="82" customFormat="false" ht="30" hidden="false" customHeight="true" outlineLevel="0" collapsed="false">
      <c r="A82" s="5" t="n">
        <v>59</v>
      </c>
      <c r="B82" s="8" t="s">
        <v>111</v>
      </c>
      <c r="C82" s="5" t="s">
        <v>38</v>
      </c>
      <c r="D82" s="5" t="n">
        <f aca="false">_xlfn.IFS(C82="Yes",1,C82="Partial",0.5,C82="N/A","N/A",C82="No",0)</f>
        <v>1</v>
      </c>
      <c r="E82" s="8" t="s">
        <v>39</v>
      </c>
    </row>
    <row r="83" customFormat="false" ht="30" hidden="false" customHeight="true" outlineLevel="0" collapsed="false">
      <c r="A83" s="5" t="n">
        <v>60</v>
      </c>
      <c r="B83" s="8" t="s">
        <v>112</v>
      </c>
      <c r="C83" s="5" t="s">
        <v>38</v>
      </c>
      <c r="D83" s="5" t="n">
        <f aca="false">_xlfn.IFS(C83="Yes",1,C83="Partial",0.5,C83="N/A","N/A",C83="No",0)</f>
        <v>1</v>
      </c>
      <c r="E83" s="8" t="s">
        <v>39</v>
      </c>
    </row>
    <row r="84" customFormat="false" ht="30" hidden="false" customHeight="true" outlineLevel="0" collapsed="false">
      <c r="A84" s="5" t="n">
        <v>61</v>
      </c>
      <c r="B84" s="8" t="s">
        <v>113</v>
      </c>
      <c r="C84" s="5" t="s">
        <v>38</v>
      </c>
      <c r="D84" s="5" t="n">
        <f aca="false">_xlfn.IFS(C84="Yes",1,C84="Partial",0.5,C84="N/A","N/A",C84="No",0)</f>
        <v>1</v>
      </c>
      <c r="E84" s="8" t="s">
        <v>39</v>
      </c>
    </row>
    <row r="85" customFormat="false" ht="30" hidden="false" customHeight="true" outlineLevel="0" collapsed="false">
      <c r="A85" s="5" t="n">
        <v>62</v>
      </c>
      <c r="B85" s="8" t="s">
        <v>114</v>
      </c>
      <c r="C85" s="5" t="s">
        <v>38</v>
      </c>
      <c r="D85" s="5" t="n">
        <f aca="false">_xlfn.IFS(C85="Yes",1,C85="Partial",0.5,C85="N/A","N/A",C85="No",0)</f>
        <v>1</v>
      </c>
      <c r="E85" s="8" t="s">
        <v>39</v>
      </c>
    </row>
    <row r="86" customFormat="false" ht="30" hidden="false" customHeight="true" outlineLevel="0" collapsed="false">
      <c r="A86" s="5" t="n">
        <v>63</v>
      </c>
      <c r="B86" s="8" t="s">
        <v>115</v>
      </c>
      <c r="C86" s="5" t="s">
        <v>38</v>
      </c>
      <c r="D86" s="5" t="n">
        <f aca="false">_xlfn.IFS(C86="Yes",1,C86="Partial",0.5,C86="N/A","N/A",C86="No",0)</f>
        <v>1</v>
      </c>
      <c r="E86" s="8" t="s">
        <v>39</v>
      </c>
    </row>
    <row r="87" customFormat="false" ht="15" hidden="false" customHeight="true" outlineLevel="0" collapsed="false">
      <c r="A87" s="9"/>
      <c r="B87" s="10" t="s">
        <v>116</v>
      </c>
      <c r="C87" s="10"/>
      <c r="D87" s="11" t="n">
        <f aca="false">IFERROR(AVERAGEIF(D78:D86,"&lt;&gt;N/A",D78:D86),0)</f>
        <v>1</v>
      </c>
      <c r="E87" s="9"/>
    </row>
    <row r="89" customFormat="false" ht="15" hidden="false" customHeight="true" outlineLevel="0" collapsed="false">
      <c r="A89" s="7" t="s">
        <v>117</v>
      </c>
      <c r="B89" s="7"/>
      <c r="C89" s="7"/>
      <c r="D89" s="7"/>
      <c r="E89" s="7"/>
    </row>
    <row r="90" customFormat="false" ht="30" hidden="false" customHeight="true" outlineLevel="0" collapsed="false">
      <c r="A90" s="5" t="n">
        <v>64</v>
      </c>
      <c r="B90" s="8" t="s">
        <v>118</v>
      </c>
      <c r="C90" s="5" t="s">
        <v>38</v>
      </c>
      <c r="D90" s="5" t="n">
        <f aca="false">_xlfn.IFS(C90="Yes",1,C90="Partial",0.5,C90="N/A","N/A",C90="No",0)</f>
        <v>1</v>
      </c>
      <c r="E90" s="8" t="s">
        <v>39</v>
      </c>
    </row>
    <row r="91" customFormat="false" ht="30" hidden="false" customHeight="true" outlineLevel="0" collapsed="false">
      <c r="A91" s="5" t="n">
        <v>65</v>
      </c>
      <c r="B91" s="8" t="s">
        <v>119</v>
      </c>
      <c r="C91" s="5" t="s">
        <v>38</v>
      </c>
      <c r="D91" s="5" t="n">
        <f aca="false">_xlfn.IFS(C91="Yes",1,C91="Partial",0.5,C91="N/A","N/A",C91="No",0)</f>
        <v>1</v>
      </c>
      <c r="E91" s="8" t="s">
        <v>39</v>
      </c>
    </row>
    <row r="92" customFormat="false" ht="30" hidden="false" customHeight="true" outlineLevel="0" collapsed="false">
      <c r="A92" s="5" t="n">
        <v>66</v>
      </c>
      <c r="B92" s="8" t="s">
        <v>120</v>
      </c>
      <c r="C92" s="5" t="s">
        <v>38</v>
      </c>
      <c r="D92" s="5" t="n">
        <f aca="false">_xlfn.IFS(C92="Yes",1,C92="Partial",0.5,C92="N/A","N/A",C92="No",0)</f>
        <v>1</v>
      </c>
      <c r="E92" s="8" t="s">
        <v>39</v>
      </c>
    </row>
    <row r="93" customFormat="false" ht="30" hidden="false" customHeight="true" outlineLevel="0" collapsed="false">
      <c r="A93" s="5" t="n">
        <v>67</v>
      </c>
      <c r="B93" s="8" t="s">
        <v>121</v>
      </c>
      <c r="C93" s="5" t="s">
        <v>38</v>
      </c>
      <c r="D93" s="5" t="n">
        <f aca="false">_xlfn.IFS(C93="Yes",1,C93="Partial",0.5,C93="N/A","N/A",C93="No",0)</f>
        <v>1</v>
      </c>
      <c r="E93" s="8" t="s">
        <v>39</v>
      </c>
    </row>
    <row r="94" customFormat="false" ht="30" hidden="false" customHeight="true" outlineLevel="0" collapsed="false">
      <c r="A94" s="5" t="n">
        <v>68</v>
      </c>
      <c r="B94" s="8" t="s">
        <v>122</v>
      </c>
      <c r="C94" s="5" t="s">
        <v>38</v>
      </c>
      <c r="D94" s="5" t="n">
        <f aca="false">_xlfn.IFS(C94="Yes",1,C94="Partial",0.5,C94="N/A","N/A",C94="No",0)</f>
        <v>1</v>
      </c>
      <c r="E94" s="8" t="s">
        <v>39</v>
      </c>
    </row>
    <row r="95" customFormat="false" ht="30" hidden="false" customHeight="true" outlineLevel="0" collapsed="false">
      <c r="A95" s="5" t="n">
        <v>69</v>
      </c>
      <c r="B95" s="8" t="s">
        <v>123</v>
      </c>
      <c r="C95" s="5" t="s">
        <v>38</v>
      </c>
      <c r="D95" s="5" t="n">
        <f aca="false">_xlfn.IFS(C95="Yes",1,C95="Partial",0.5,C95="N/A","N/A",C95="No",0)</f>
        <v>1</v>
      </c>
      <c r="E95" s="8" t="s">
        <v>39</v>
      </c>
    </row>
    <row r="96" customFormat="false" ht="30" hidden="false" customHeight="true" outlineLevel="0" collapsed="false">
      <c r="A96" s="5" t="n">
        <v>70</v>
      </c>
      <c r="B96" s="8" t="s">
        <v>124</v>
      </c>
      <c r="C96" s="5" t="s">
        <v>38</v>
      </c>
      <c r="D96" s="5" t="n">
        <f aca="false">_xlfn.IFS(C96="Yes",1,C96="Partial",0.5,C96="N/A","N/A",C96="No",0)</f>
        <v>1</v>
      </c>
      <c r="E96" s="8" t="s">
        <v>39</v>
      </c>
    </row>
    <row r="97" customFormat="false" ht="30" hidden="false" customHeight="true" outlineLevel="0" collapsed="false">
      <c r="A97" s="5" t="n">
        <v>71</v>
      </c>
      <c r="B97" s="8" t="s">
        <v>125</v>
      </c>
      <c r="C97" s="5" t="s">
        <v>38</v>
      </c>
      <c r="D97" s="5" t="n">
        <f aca="false">_xlfn.IFS(C97="Yes",1,C97="Partial",0.5,C97="N/A","N/A",C97="No",0)</f>
        <v>1</v>
      </c>
      <c r="E97" s="8" t="s">
        <v>39</v>
      </c>
    </row>
    <row r="98" customFormat="false" ht="15" hidden="false" customHeight="true" outlineLevel="0" collapsed="false">
      <c r="A98" s="9"/>
      <c r="B98" s="10" t="s">
        <v>126</v>
      </c>
      <c r="C98" s="10"/>
      <c r="D98" s="11" t="n">
        <f aca="false">IFERROR(AVERAGEIF(D90:D97,"&lt;&gt;N/A",D90:D97),0)</f>
        <v>1</v>
      </c>
      <c r="E98" s="9"/>
    </row>
    <row r="100" customFormat="false" ht="15" hidden="false" customHeight="true" outlineLevel="0" collapsed="false">
      <c r="A100" s="12" t="s">
        <v>127</v>
      </c>
      <c r="B100" s="12"/>
      <c r="C100" s="12"/>
      <c r="D100" s="13" t="n">
        <f aca="false">AVERAGE(D15,D27,D39,D51,D63,D75,D87,D98)</f>
        <v>1</v>
      </c>
      <c r="E100" s="14"/>
    </row>
    <row r="101" customFormat="false" ht="15" hidden="false" customHeight="true" outlineLevel="0" collapsed="false">
      <c r="A101" s="12" t="s">
        <v>128</v>
      </c>
      <c r="B101" s="12"/>
      <c r="C101" s="12"/>
      <c r="D101" s="15" t="str">
        <f aca="false">_xlfn.IFS(D100&gt;=0.85,"Low Risk",D100&gt;=0.65,"Medium Risk",D100&gt;=0.45,"High Risk",D100&lt;0.45,"Critical Risk")</f>
        <v>Low Risk</v>
      </c>
      <c r="E101" s="14"/>
    </row>
  </sheetData>
  <mergeCells count="18">
    <mergeCell ref="A5:E5"/>
    <mergeCell ref="B15:C15"/>
    <mergeCell ref="A17:E17"/>
    <mergeCell ref="B27:C27"/>
    <mergeCell ref="A29:E29"/>
    <mergeCell ref="B39:C39"/>
    <mergeCell ref="A41:E41"/>
    <mergeCell ref="B51:C51"/>
    <mergeCell ref="A53:E53"/>
    <mergeCell ref="B63:C63"/>
    <mergeCell ref="A65:E65"/>
    <mergeCell ref="B75:C75"/>
    <mergeCell ref="A77:E77"/>
    <mergeCell ref="B87:C87"/>
    <mergeCell ref="A89:E89"/>
    <mergeCell ref="B98:C98"/>
    <mergeCell ref="A100:C100"/>
    <mergeCell ref="A101:C101"/>
  </mergeCells>
  <conditionalFormatting sqref="C5:C98">
    <cfRule type="cellIs" priority="2" operator="equal" aboveAverage="0" equalAverage="0" bottom="0" percent="0" rank="0" text="" dxfId="3">
      <formula>"Yes"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1">
      <formula>"No"</formula>
    </cfRule>
  </conditionalFormatting>
  <conditionalFormatting sqref="D101">
    <cfRule type="cellIs" priority="5" operator="equal" aboveAverage="0" equalAverage="0" bottom="0" percent="0" rank="0" text="" dxfId="0">
      <formula>"Critical Risk"</formula>
    </cfRule>
    <cfRule type="cellIs" priority="6" operator="equal" aboveAverage="0" equalAverage="0" bottom="0" percent="0" rank="0" text="" dxfId="1">
      <formula>"High Risk"</formula>
    </cfRule>
    <cfRule type="cellIs" priority="7" operator="equal" aboveAverage="0" equalAverage="0" bottom="0" percent="0" rank="0" text="" dxfId="2">
      <formula>"Medium Risk"</formula>
    </cfRule>
    <cfRule type="cellIs" priority="8" operator="equal" aboveAverage="0" equalAverage="0" bottom="0" percent="0" rank="0" text="" dxfId="3">
      <formula>"Low Risk"</formula>
    </cfRule>
  </conditionalFormatting>
  <dataValidations count="1">
    <dataValidation allowBlank="false" errorStyle="stop" operator="between" showDropDown="false" showErrorMessage="false" showInputMessage="false" sqref="C5:C98" type="list">
      <formula1>"Yes,Partial,No,N/A"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2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38"/>
  </cols>
  <sheetData>
    <row r="1" customFormat="false" ht="17.25" hidden="false" customHeight="true" outlineLevel="0" collapsed="false">
      <c r="A1" s="2" t="s">
        <v>135</v>
      </c>
    </row>
    <row r="2" customFormat="false" ht="15" hidden="false" customHeight="true" outlineLevel="0" collapsed="false">
      <c r="A2" s="3" t="s">
        <v>136</v>
      </c>
    </row>
    <row r="4" customFormat="false" ht="15" hidden="false" customHeight="true" outlineLevel="0" collapsed="false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</row>
    <row r="5" customFormat="false" ht="15" hidden="false" customHeight="true" outlineLevel="0" collapsed="false">
      <c r="A5" s="7" t="s">
        <v>36</v>
      </c>
      <c r="B5" s="7"/>
      <c r="C5" s="7"/>
      <c r="D5" s="7"/>
      <c r="E5" s="7"/>
    </row>
    <row r="6" customFormat="false" ht="30" hidden="false" customHeight="true" outlineLevel="0" collapsed="false">
      <c r="A6" s="5" t="n">
        <v>1</v>
      </c>
      <c r="B6" s="8" t="s">
        <v>37</v>
      </c>
      <c r="C6" s="5" t="s">
        <v>38</v>
      </c>
      <c r="D6" s="5" t="n">
        <f aca="false">_xlfn.IFS(C6="Yes",1,C6="Partial",0.5,C6="N/A","N/A",C6="No",0)</f>
        <v>1</v>
      </c>
      <c r="E6" s="8" t="s">
        <v>39</v>
      </c>
    </row>
    <row r="7" customFormat="false" ht="30" hidden="false" customHeight="true" outlineLevel="0" collapsed="false">
      <c r="A7" s="5" t="n">
        <v>2</v>
      </c>
      <c r="B7" s="8" t="s">
        <v>40</v>
      </c>
      <c r="C7" s="5" t="s">
        <v>131</v>
      </c>
      <c r="D7" s="5" t="n">
        <f aca="false">_xlfn.IFS(C7="Yes",1,C7="Partial",0.5,C7="N/A","N/A",C7="No",0)</f>
        <v>0.5</v>
      </c>
      <c r="E7" s="8" t="s">
        <v>132</v>
      </c>
    </row>
    <row r="8" customFormat="false" ht="30" hidden="false" customHeight="true" outlineLevel="0" collapsed="false">
      <c r="A8" s="5" t="n">
        <v>3</v>
      </c>
      <c r="B8" s="8" t="s">
        <v>41</v>
      </c>
      <c r="C8" s="5" t="s">
        <v>38</v>
      </c>
      <c r="D8" s="5" t="n">
        <f aca="false">_xlfn.IFS(C8="Yes",1,C8="Partial",0.5,C8="N/A","N/A",C8="No",0)</f>
        <v>1</v>
      </c>
      <c r="E8" s="8" t="s">
        <v>39</v>
      </c>
    </row>
    <row r="9" customFormat="false" ht="30" hidden="false" customHeight="true" outlineLevel="0" collapsed="false">
      <c r="A9" s="5" t="n">
        <v>4</v>
      </c>
      <c r="B9" s="8" t="s">
        <v>42</v>
      </c>
      <c r="C9" s="5" t="s">
        <v>38</v>
      </c>
      <c r="D9" s="5" t="n">
        <f aca="false">_xlfn.IFS(C9="Yes",1,C9="Partial",0.5,C9="N/A","N/A",C9="No",0)</f>
        <v>1</v>
      </c>
      <c r="E9" s="8" t="s">
        <v>39</v>
      </c>
    </row>
    <row r="10" customFormat="false" ht="30" hidden="false" customHeight="true" outlineLevel="0" collapsed="false">
      <c r="A10" s="5" t="n">
        <v>5</v>
      </c>
      <c r="B10" s="8" t="s">
        <v>43</v>
      </c>
      <c r="C10" s="5" t="s">
        <v>38</v>
      </c>
      <c r="D10" s="5" t="n">
        <f aca="false">_xlfn.IFS(C10="Yes",1,C10="Partial",0.5,C10="N/A","N/A",C10="No",0)</f>
        <v>1</v>
      </c>
      <c r="E10" s="8" t="s">
        <v>39</v>
      </c>
    </row>
    <row r="11" customFormat="false" ht="30" hidden="false" customHeight="true" outlineLevel="0" collapsed="false">
      <c r="A11" s="5" t="n">
        <v>6</v>
      </c>
      <c r="B11" s="8" t="s">
        <v>44</v>
      </c>
      <c r="C11" s="5" t="s">
        <v>131</v>
      </c>
      <c r="D11" s="5" t="n">
        <f aca="false">_xlfn.IFS(C11="Yes",1,C11="Partial",0.5,C11="N/A","N/A",C11="No",0)</f>
        <v>0.5</v>
      </c>
      <c r="E11" s="8" t="s">
        <v>132</v>
      </c>
    </row>
    <row r="12" customFormat="false" ht="30" hidden="false" customHeight="true" outlineLevel="0" collapsed="false">
      <c r="A12" s="5" t="n">
        <v>7</v>
      </c>
      <c r="B12" s="8" t="s">
        <v>45</v>
      </c>
      <c r="C12" s="5" t="s">
        <v>131</v>
      </c>
      <c r="D12" s="5" t="n">
        <f aca="false">_xlfn.IFS(C12="Yes",1,C12="Partial",0.5,C12="N/A","N/A",C12="No",0)</f>
        <v>0.5</v>
      </c>
      <c r="E12" s="8" t="s">
        <v>132</v>
      </c>
    </row>
    <row r="13" customFormat="false" ht="30" hidden="false" customHeight="true" outlineLevel="0" collapsed="false">
      <c r="A13" s="5" t="n">
        <v>8</v>
      </c>
      <c r="B13" s="8" t="s">
        <v>46</v>
      </c>
      <c r="C13" s="5" t="s">
        <v>38</v>
      </c>
      <c r="D13" s="5" t="n">
        <f aca="false">_xlfn.IFS(C13="Yes",1,C13="Partial",0.5,C13="N/A","N/A",C13="No",0)</f>
        <v>1</v>
      </c>
      <c r="E13" s="8" t="s">
        <v>39</v>
      </c>
    </row>
    <row r="14" customFormat="false" ht="30" hidden="false" customHeight="true" outlineLevel="0" collapsed="false">
      <c r="A14" s="5" t="n">
        <v>9</v>
      </c>
      <c r="B14" s="8" t="s">
        <v>47</v>
      </c>
      <c r="C14" s="5" t="s">
        <v>38</v>
      </c>
      <c r="D14" s="5" t="n">
        <f aca="false">_xlfn.IFS(C14="Yes",1,C14="Partial",0.5,C14="N/A","N/A",C14="No",0)</f>
        <v>1</v>
      </c>
      <c r="E14" s="8" t="s">
        <v>39</v>
      </c>
    </row>
    <row r="15" customFormat="false" ht="15" hidden="false" customHeight="true" outlineLevel="0" collapsed="false">
      <c r="A15" s="9"/>
      <c r="B15" s="10" t="s">
        <v>48</v>
      </c>
      <c r="C15" s="10"/>
      <c r="D15" s="11" t="n">
        <f aca="false">IFERROR(AVERAGEIF(D6:D14,"&lt;&gt;N/A",D6:D14),0)</f>
        <v>0.833333333333333</v>
      </c>
      <c r="E15" s="9"/>
    </row>
    <row r="17" customFormat="false" ht="15" hidden="false" customHeight="true" outlineLevel="0" collapsed="false">
      <c r="A17" s="7" t="s">
        <v>49</v>
      </c>
      <c r="B17" s="7"/>
      <c r="C17" s="7"/>
      <c r="D17" s="7"/>
      <c r="E17" s="7"/>
    </row>
    <row r="18" customFormat="false" ht="30" hidden="false" customHeight="true" outlineLevel="0" collapsed="false">
      <c r="A18" s="5" t="n">
        <v>10</v>
      </c>
      <c r="B18" s="8" t="s">
        <v>50</v>
      </c>
      <c r="C18" s="5" t="s">
        <v>38</v>
      </c>
      <c r="D18" s="5" t="n">
        <f aca="false">_xlfn.IFS(C18="Yes",1,C18="Partial",0.5,C18="N/A","N/A",C18="No",0)</f>
        <v>1</v>
      </c>
      <c r="E18" s="8" t="s">
        <v>39</v>
      </c>
    </row>
    <row r="19" customFormat="false" ht="30" hidden="false" customHeight="true" outlineLevel="0" collapsed="false">
      <c r="A19" s="5" t="n">
        <v>11</v>
      </c>
      <c r="B19" s="8" t="s">
        <v>51</v>
      </c>
      <c r="C19" s="5" t="s">
        <v>38</v>
      </c>
      <c r="D19" s="5" t="n">
        <f aca="false">_xlfn.IFS(C19="Yes",1,C19="Partial",0.5,C19="N/A","N/A",C19="No",0)</f>
        <v>1</v>
      </c>
      <c r="E19" s="8" t="s">
        <v>39</v>
      </c>
    </row>
    <row r="20" customFormat="false" ht="30" hidden="false" customHeight="true" outlineLevel="0" collapsed="false">
      <c r="A20" s="5" t="n">
        <v>12</v>
      </c>
      <c r="B20" s="8" t="s">
        <v>52</v>
      </c>
      <c r="C20" s="5" t="s">
        <v>38</v>
      </c>
      <c r="D20" s="5" t="n">
        <f aca="false">_xlfn.IFS(C20="Yes",1,C20="Partial",0.5,C20="N/A","N/A",C20="No",0)</f>
        <v>1</v>
      </c>
      <c r="E20" s="8" t="s">
        <v>39</v>
      </c>
    </row>
    <row r="21" customFormat="false" ht="30" hidden="false" customHeight="true" outlineLevel="0" collapsed="false">
      <c r="A21" s="5" t="n">
        <v>13</v>
      </c>
      <c r="B21" s="8" t="s">
        <v>53</v>
      </c>
      <c r="C21" s="5" t="s">
        <v>131</v>
      </c>
      <c r="D21" s="5" t="n">
        <f aca="false">_xlfn.IFS(C21="Yes",1,C21="Partial",0.5,C21="N/A","N/A",C21="No",0)</f>
        <v>0.5</v>
      </c>
      <c r="E21" s="8" t="s">
        <v>132</v>
      </c>
    </row>
    <row r="22" customFormat="false" ht="30" hidden="false" customHeight="true" outlineLevel="0" collapsed="false">
      <c r="A22" s="5" t="n">
        <v>14</v>
      </c>
      <c r="B22" s="8" t="s">
        <v>54</v>
      </c>
      <c r="C22" s="5" t="s">
        <v>38</v>
      </c>
      <c r="D22" s="5" t="n">
        <f aca="false">_xlfn.IFS(C22="Yes",1,C22="Partial",0.5,C22="N/A","N/A",C22="No",0)</f>
        <v>1</v>
      </c>
      <c r="E22" s="8" t="s">
        <v>39</v>
      </c>
    </row>
    <row r="23" customFormat="false" ht="30" hidden="false" customHeight="true" outlineLevel="0" collapsed="false">
      <c r="A23" s="5" t="n">
        <v>15</v>
      </c>
      <c r="B23" s="8" t="s">
        <v>55</v>
      </c>
      <c r="C23" s="5" t="s">
        <v>38</v>
      </c>
      <c r="D23" s="5" t="n">
        <f aca="false">_xlfn.IFS(C23="Yes",1,C23="Partial",0.5,C23="N/A","N/A",C23="No",0)</f>
        <v>1</v>
      </c>
      <c r="E23" s="8" t="s">
        <v>39</v>
      </c>
    </row>
    <row r="24" customFormat="false" ht="30" hidden="false" customHeight="true" outlineLevel="0" collapsed="false">
      <c r="A24" s="5" t="n">
        <v>16</v>
      </c>
      <c r="B24" s="8" t="s">
        <v>56</v>
      </c>
      <c r="C24" s="5" t="s">
        <v>131</v>
      </c>
      <c r="D24" s="5" t="n">
        <f aca="false">_xlfn.IFS(C24="Yes",1,C24="Partial",0.5,C24="N/A","N/A",C24="No",0)</f>
        <v>0.5</v>
      </c>
      <c r="E24" s="8" t="s">
        <v>132</v>
      </c>
    </row>
    <row r="25" customFormat="false" ht="30" hidden="false" customHeight="true" outlineLevel="0" collapsed="false">
      <c r="A25" s="5" t="n">
        <v>17</v>
      </c>
      <c r="B25" s="8" t="s">
        <v>57</v>
      </c>
      <c r="C25" s="5" t="s">
        <v>38</v>
      </c>
      <c r="D25" s="5" t="n">
        <f aca="false">_xlfn.IFS(C25="Yes",1,C25="Partial",0.5,C25="N/A","N/A",C25="No",0)</f>
        <v>1</v>
      </c>
      <c r="E25" s="8" t="s">
        <v>39</v>
      </c>
    </row>
    <row r="26" customFormat="false" ht="30" hidden="false" customHeight="true" outlineLevel="0" collapsed="false">
      <c r="A26" s="5" t="n">
        <v>18</v>
      </c>
      <c r="B26" s="8" t="s">
        <v>58</v>
      </c>
      <c r="C26" s="5" t="s">
        <v>131</v>
      </c>
      <c r="D26" s="5" t="n">
        <f aca="false">_xlfn.IFS(C26="Yes",1,C26="Partial",0.5,C26="N/A","N/A",C26="No",0)</f>
        <v>0.5</v>
      </c>
      <c r="E26" s="8" t="s">
        <v>132</v>
      </c>
    </row>
    <row r="27" customFormat="false" ht="15" hidden="false" customHeight="true" outlineLevel="0" collapsed="false">
      <c r="A27" s="9"/>
      <c r="B27" s="10" t="s">
        <v>59</v>
      </c>
      <c r="C27" s="10"/>
      <c r="D27" s="11" t="n">
        <f aca="false">IFERROR(AVERAGEIF(D18:D26,"&lt;&gt;N/A",D18:D26),0)</f>
        <v>0.833333333333333</v>
      </c>
      <c r="E27" s="9"/>
    </row>
    <row r="29" customFormat="false" ht="15" hidden="false" customHeight="true" outlineLevel="0" collapsed="false">
      <c r="A29" s="7" t="s">
        <v>60</v>
      </c>
      <c r="B29" s="7"/>
      <c r="C29" s="7"/>
      <c r="D29" s="7"/>
      <c r="E29" s="7"/>
    </row>
    <row r="30" customFormat="false" ht="30" hidden="false" customHeight="true" outlineLevel="0" collapsed="false">
      <c r="A30" s="5" t="n">
        <v>19</v>
      </c>
      <c r="B30" s="8" t="s">
        <v>61</v>
      </c>
      <c r="C30" s="5" t="s">
        <v>38</v>
      </c>
      <c r="D30" s="5" t="n">
        <f aca="false">_xlfn.IFS(C30="Yes",1,C30="Partial",0.5,C30="N/A","N/A",C30="No",0)</f>
        <v>1</v>
      </c>
      <c r="E30" s="8" t="s">
        <v>39</v>
      </c>
    </row>
    <row r="31" customFormat="false" ht="30" hidden="false" customHeight="true" outlineLevel="0" collapsed="false">
      <c r="A31" s="5" t="n">
        <v>20</v>
      </c>
      <c r="B31" s="8" t="s">
        <v>62</v>
      </c>
      <c r="C31" s="5" t="s">
        <v>38</v>
      </c>
      <c r="D31" s="5" t="n">
        <f aca="false">_xlfn.IFS(C31="Yes",1,C31="Partial",0.5,C31="N/A","N/A",C31="No",0)</f>
        <v>1</v>
      </c>
      <c r="E31" s="8" t="s">
        <v>39</v>
      </c>
    </row>
    <row r="32" customFormat="false" ht="30" hidden="false" customHeight="true" outlineLevel="0" collapsed="false">
      <c r="A32" s="5" t="n">
        <v>21</v>
      </c>
      <c r="B32" s="8" t="s">
        <v>63</v>
      </c>
      <c r="C32" s="5" t="s">
        <v>38</v>
      </c>
      <c r="D32" s="5" t="n">
        <f aca="false">_xlfn.IFS(C32="Yes",1,C32="Partial",0.5,C32="N/A","N/A",C32="No",0)</f>
        <v>1</v>
      </c>
      <c r="E32" s="8" t="s">
        <v>39</v>
      </c>
    </row>
    <row r="33" customFormat="false" ht="30" hidden="false" customHeight="true" outlineLevel="0" collapsed="false">
      <c r="A33" s="5" t="n">
        <v>22</v>
      </c>
      <c r="B33" s="8" t="s">
        <v>64</v>
      </c>
      <c r="C33" s="5" t="s">
        <v>131</v>
      </c>
      <c r="D33" s="5" t="n">
        <f aca="false">_xlfn.IFS(C33="Yes",1,C33="Partial",0.5,C33="N/A","N/A",C33="No",0)</f>
        <v>0.5</v>
      </c>
      <c r="E33" s="8" t="s">
        <v>132</v>
      </c>
    </row>
    <row r="34" customFormat="false" ht="30" hidden="false" customHeight="true" outlineLevel="0" collapsed="false">
      <c r="A34" s="5" t="n">
        <v>23</v>
      </c>
      <c r="B34" s="8" t="s">
        <v>65</v>
      </c>
      <c r="C34" s="5" t="s">
        <v>38</v>
      </c>
      <c r="D34" s="5" t="n">
        <f aca="false">_xlfn.IFS(C34="Yes",1,C34="Partial",0.5,C34="N/A","N/A",C34="No",0)</f>
        <v>1</v>
      </c>
      <c r="E34" s="8" t="s">
        <v>39</v>
      </c>
    </row>
    <row r="35" customFormat="false" ht="30" hidden="false" customHeight="true" outlineLevel="0" collapsed="false">
      <c r="A35" s="5" t="n">
        <v>24</v>
      </c>
      <c r="B35" s="8" t="s">
        <v>66</v>
      </c>
      <c r="C35" s="5" t="s">
        <v>38</v>
      </c>
      <c r="D35" s="5" t="n">
        <f aca="false">_xlfn.IFS(C35="Yes",1,C35="Partial",0.5,C35="N/A","N/A",C35="No",0)</f>
        <v>1</v>
      </c>
      <c r="E35" s="8" t="s">
        <v>39</v>
      </c>
    </row>
    <row r="36" customFormat="false" ht="30" hidden="false" customHeight="true" outlineLevel="0" collapsed="false">
      <c r="A36" s="5" t="n">
        <v>25</v>
      </c>
      <c r="B36" s="8" t="s">
        <v>67</v>
      </c>
      <c r="C36" s="5" t="s">
        <v>131</v>
      </c>
      <c r="D36" s="5" t="n">
        <f aca="false">_xlfn.IFS(C36="Yes",1,C36="Partial",0.5,C36="N/A","N/A",C36="No",0)</f>
        <v>0.5</v>
      </c>
      <c r="E36" s="8" t="s">
        <v>132</v>
      </c>
    </row>
    <row r="37" customFormat="false" ht="30" hidden="false" customHeight="true" outlineLevel="0" collapsed="false">
      <c r="A37" s="5" t="n">
        <v>26</v>
      </c>
      <c r="B37" s="8" t="s">
        <v>68</v>
      </c>
      <c r="C37" s="5" t="s">
        <v>131</v>
      </c>
      <c r="D37" s="5" t="n">
        <f aca="false">_xlfn.IFS(C37="Yes",1,C37="Partial",0.5,C37="N/A","N/A",C37="No",0)</f>
        <v>0.5</v>
      </c>
      <c r="E37" s="8" t="s">
        <v>132</v>
      </c>
    </row>
    <row r="38" customFormat="false" ht="30" hidden="false" customHeight="true" outlineLevel="0" collapsed="false">
      <c r="A38" s="5" t="n">
        <v>27</v>
      </c>
      <c r="B38" s="8" t="s">
        <v>69</v>
      </c>
      <c r="C38" s="5" t="s">
        <v>131</v>
      </c>
      <c r="D38" s="5" t="n">
        <f aca="false">_xlfn.IFS(C38="Yes",1,C38="Partial",0.5,C38="N/A","N/A",C38="No",0)</f>
        <v>0.5</v>
      </c>
      <c r="E38" s="8" t="s">
        <v>132</v>
      </c>
    </row>
    <row r="39" customFormat="false" ht="15" hidden="false" customHeight="true" outlineLevel="0" collapsed="false">
      <c r="A39" s="9"/>
      <c r="B39" s="10" t="s">
        <v>70</v>
      </c>
      <c r="C39" s="10"/>
      <c r="D39" s="11" t="n">
        <f aca="false">IFERROR(AVERAGEIF(D30:D38,"&lt;&gt;N/A",D30:D38),0)</f>
        <v>0.777777777777778</v>
      </c>
      <c r="E39" s="9"/>
    </row>
    <row r="41" customFormat="false" ht="15" hidden="false" customHeight="true" outlineLevel="0" collapsed="false">
      <c r="A41" s="7" t="s">
        <v>71</v>
      </c>
      <c r="B41" s="7"/>
      <c r="C41" s="7"/>
      <c r="D41" s="7"/>
      <c r="E41" s="7"/>
    </row>
    <row r="42" customFormat="false" ht="30" hidden="false" customHeight="true" outlineLevel="0" collapsed="false">
      <c r="A42" s="5" t="n">
        <v>28</v>
      </c>
      <c r="B42" s="8" t="s">
        <v>72</v>
      </c>
      <c r="C42" s="5" t="s">
        <v>38</v>
      </c>
      <c r="D42" s="5" t="n">
        <f aca="false">_xlfn.IFS(C42="Yes",1,C42="Partial",0.5,C42="N/A","N/A",C42="No",0)</f>
        <v>1</v>
      </c>
      <c r="E42" s="8" t="s">
        <v>39</v>
      </c>
    </row>
    <row r="43" customFormat="false" ht="30" hidden="false" customHeight="true" outlineLevel="0" collapsed="false">
      <c r="A43" s="5" t="n">
        <v>29</v>
      </c>
      <c r="B43" s="8" t="s">
        <v>73</v>
      </c>
      <c r="C43" s="5" t="s">
        <v>38</v>
      </c>
      <c r="D43" s="5" t="n">
        <f aca="false">_xlfn.IFS(C43="Yes",1,C43="Partial",0.5,C43="N/A","N/A",C43="No",0)</f>
        <v>1</v>
      </c>
      <c r="E43" s="8" t="s">
        <v>39</v>
      </c>
    </row>
    <row r="44" customFormat="false" ht="30" hidden="false" customHeight="true" outlineLevel="0" collapsed="false">
      <c r="A44" s="5" t="n">
        <v>30</v>
      </c>
      <c r="B44" s="8" t="s">
        <v>74</v>
      </c>
      <c r="C44" s="5" t="s">
        <v>131</v>
      </c>
      <c r="D44" s="5" t="n">
        <f aca="false">_xlfn.IFS(C44="Yes",1,C44="Partial",0.5,C44="N/A","N/A",C44="No",0)</f>
        <v>0.5</v>
      </c>
      <c r="E44" s="8" t="s">
        <v>132</v>
      </c>
    </row>
    <row r="45" customFormat="false" ht="30" hidden="false" customHeight="true" outlineLevel="0" collapsed="false">
      <c r="A45" s="5" t="n">
        <v>31</v>
      </c>
      <c r="B45" s="8" t="s">
        <v>75</v>
      </c>
      <c r="C45" s="5" t="s">
        <v>38</v>
      </c>
      <c r="D45" s="5" t="n">
        <f aca="false">_xlfn.IFS(C45="Yes",1,C45="Partial",0.5,C45="N/A","N/A",C45="No",0)</f>
        <v>1</v>
      </c>
      <c r="E45" s="8" t="s">
        <v>39</v>
      </c>
    </row>
    <row r="46" customFormat="false" ht="30" hidden="false" customHeight="true" outlineLevel="0" collapsed="false">
      <c r="A46" s="5" t="n">
        <v>32</v>
      </c>
      <c r="B46" s="8" t="s">
        <v>76</v>
      </c>
      <c r="C46" s="5" t="s">
        <v>38</v>
      </c>
      <c r="D46" s="5" t="n">
        <f aca="false">_xlfn.IFS(C46="Yes",1,C46="Partial",0.5,C46="N/A","N/A",C46="No",0)</f>
        <v>1</v>
      </c>
      <c r="E46" s="8" t="s">
        <v>39</v>
      </c>
    </row>
    <row r="47" customFormat="false" ht="30" hidden="false" customHeight="true" outlineLevel="0" collapsed="false">
      <c r="A47" s="5" t="n">
        <v>33</v>
      </c>
      <c r="B47" s="8" t="s">
        <v>77</v>
      </c>
      <c r="C47" s="5" t="s">
        <v>131</v>
      </c>
      <c r="D47" s="5" t="n">
        <f aca="false">_xlfn.IFS(C47="Yes",1,C47="Partial",0.5,C47="N/A","N/A",C47="No",0)</f>
        <v>0.5</v>
      </c>
      <c r="E47" s="8" t="s">
        <v>132</v>
      </c>
    </row>
    <row r="48" customFormat="false" ht="30" hidden="false" customHeight="true" outlineLevel="0" collapsed="false">
      <c r="A48" s="5" t="n">
        <v>34</v>
      </c>
      <c r="B48" s="8" t="s">
        <v>78</v>
      </c>
      <c r="C48" s="5" t="s">
        <v>131</v>
      </c>
      <c r="D48" s="5" t="n">
        <f aca="false">_xlfn.IFS(C48="Yes",1,C48="Partial",0.5,C48="N/A","N/A",C48="No",0)</f>
        <v>0.5</v>
      </c>
      <c r="E48" s="8" t="s">
        <v>132</v>
      </c>
    </row>
    <row r="49" customFormat="false" ht="30" hidden="false" customHeight="true" outlineLevel="0" collapsed="false">
      <c r="A49" s="5" t="n">
        <v>35</v>
      </c>
      <c r="B49" s="8" t="s">
        <v>79</v>
      </c>
      <c r="C49" s="5" t="s">
        <v>131</v>
      </c>
      <c r="D49" s="5" t="n">
        <f aca="false">_xlfn.IFS(C49="Yes",1,C49="Partial",0.5,C49="N/A","N/A",C49="No",0)</f>
        <v>0.5</v>
      </c>
      <c r="E49" s="8" t="s">
        <v>132</v>
      </c>
    </row>
    <row r="50" customFormat="false" ht="30" hidden="false" customHeight="true" outlineLevel="0" collapsed="false">
      <c r="A50" s="5" t="n">
        <v>36</v>
      </c>
      <c r="B50" s="8" t="s">
        <v>80</v>
      </c>
      <c r="C50" s="5" t="s">
        <v>131</v>
      </c>
      <c r="D50" s="5" t="n">
        <f aca="false">_xlfn.IFS(C50="Yes",1,C50="Partial",0.5,C50="N/A","N/A",C50="No",0)</f>
        <v>0.5</v>
      </c>
      <c r="E50" s="8" t="s">
        <v>132</v>
      </c>
    </row>
    <row r="51" customFormat="false" ht="15" hidden="false" customHeight="true" outlineLevel="0" collapsed="false">
      <c r="A51" s="9"/>
      <c r="B51" s="10" t="s">
        <v>81</v>
      </c>
      <c r="C51" s="10"/>
      <c r="D51" s="11" t="n">
        <f aca="false">IFERROR(AVERAGEIF(D42:D50,"&lt;&gt;N/A",D42:D50),0)</f>
        <v>0.722222222222222</v>
      </c>
      <c r="E51" s="9"/>
    </row>
    <row r="53" customFormat="false" ht="15" hidden="false" customHeight="true" outlineLevel="0" collapsed="false">
      <c r="A53" s="7" t="s">
        <v>82</v>
      </c>
      <c r="B53" s="7"/>
      <c r="C53" s="7"/>
      <c r="D53" s="7"/>
      <c r="E53" s="7"/>
    </row>
    <row r="54" customFormat="false" ht="30" hidden="false" customHeight="true" outlineLevel="0" collapsed="false">
      <c r="A54" s="5" t="n">
        <v>37</v>
      </c>
      <c r="B54" s="8" t="s">
        <v>83</v>
      </c>
      <c r="C54" s="5" t="s">
        <v>38</v>
      </c>
      <c r="D54" s="5" t="n">
        <f aca="false">_xlfn.IFS(C54="Yes",1,C54="Partial",0.5,C54="N/A","N/A",C54="No",0)</f>
        <v>1</v>
      </c>
      <c r="E54" s="8" t="s">
        <v>39</v>
      </c>
    </row>
    <row r="55" customFormat="false" ht="30" hidden="false" customHeight="true" outlineLevel="0" collapsed="false">
      <c r="A55" s="5" t="n">
        <v>38</v>
      </c>
      <c r="B55" s="8" t="s">
        <v>84</v>
      </c>
      <c r="C55" s="5" t="s">
        <v>38</v>
      </c>
      <c r="D55" s="5" t="n">
        <f aca="false">_xlfn.IFS(C55="Yes",1,C55="Partial",0.5,C55="N/A","N/A",C55="No",0)</f>
        <v>1</v>
      </c>
      <c r="E55" s="8" t="s">
        <v>39</v>
      </c>
    </row>
    <row r="56" customFormat="false" ht="30" hidden="false" customHeight="true" outlineLevel="0" collapsed="false">
      <c r="A56" s="5" t="n">
        <v>39</v>
      </c>
      <c r="B56" s="8" t="s">
        <v>85</v>
      </c>
      <c r="C56" s="5" t="s">
        <v>131</v>
      </c>
      <c r="D56" s="5" t="n">
        <f aca="false">_xlfn.IFS(C56="Yes",1,C56="Partial",0.5,C56="N/A","N/A",C56="No",0)</f>
        <v>0.5</v>
      </c>
      <c r="E56" s="8" t="s">
        <v>132</v>
      </c>
    </row>
    <row r="57" customFormat="false" ht="30" hidden="false" customHeight="true" outlineLevel="0" collapsed="false">
      <c r="A57" s="5" t="n">
        <v>40</v>
      </c>
      <c r="B57" s="8" t="s">
        <v>86</v>
      </c>
      <c r="C57" s="5" t="s">
        <v>38</v>
      </c>
      <c r="D57" s="5" t="n">
        <f aca="false">_xlfn.IFS(C57="Yes",1,C57="Partial",0.5,C57="N/A","N/A",C57="No",0)</f>
        <v>1</v>
      </c>
      <c r="E57" s="8" t="s">
        <v>39</v>
      </c>
    </row>
    <row r="58" customFormat="false" ht="30" hidden="false" customHeight="true" outlineLevel="0" collapsed="false">
      <c r="A58" s="5" t="n">
        <v>41</v>
      </c>
      <c r="B58" s="8" t="s">
        <v>87</v>
      </c>
      <c r="C58" s="5" t="s">
        <v>38</v>
      </c>
      <c r="D58" s="5" t="n">
        <f aca="false">_xlfn.IFS(C58="Yes",1,C58="Partial",0.5,C58="N/A","N/A",C58="No",0)</f>
        <v>1</v>
      </c>
      <c r="E58" s="8" t="s">
        <v>39</v>
      </c>
    </row>
    <row r="59" customFormat="false" ht="30" hidden="false" customHeight="true" outlineLevel="0" collapsed="false">
      <c r="A59" s="5" t="n">
        <v>42</v>
      </c>
      <c r="B59" s="8" t="s">
        <v>88</v>
      </c>
      <c r="C59" s="5" t="s">
        <v>38</v>
      </c>
      <c r="D59" s="5" t="n">
        <f aca="false">_xlfn.IFS(C59="Yes",1,C59="Partial",0.5,C59="N/A","N/A",C59="No",0)</f>
        <v>1</v>
      </c>
      <c r="E59" s="8" t="s">
        <v>39</v>
      </c>
    </row>
    <row r="60" customFormat="false" ht="30" hidden="false" customHeight="true" outlineLevel="0" collapsed="false">
      <c r="A60" s="5" t="n">
        <v>43</v>
      </c>
      <c r="B60" s="8" t="s">
        <v>89</v>
      </c>
      <c r="C60" s="5" t="s">
        <v>131</v>
      </c>
      <c r="D60" s="5" t="n">
        <f aca="false">_xlfn.IFS(C60="Yes",1,C60="Partial",0.5,C60="N/A","N/A",C60="No",0)</f>
        <v>0.5</v>
      </c>
      <c r="E60" s="8" t="s">
        <v>132</v>
      </c>
    </row>
    <row r="61" customFormat="false" ht="30" hidden="false" customHeight="true" outlineLevel="0" collapsed="false">
      <c r="A61" s="5" t="n">
        <v>44</v>
      </c>
      <c r="B61" s="8" t="s">
        <v>90</v>
      </c>
      <c r="C61" s="5" t="s">
        <v>38</v>
      </c>
      <c r="D61" s="5" t="n">
        <f aca="false">_xlfn.IFS(C61="Yes",1,C61="Partial",0.5,C61="N/A","N/A",C61="No",0)</f>
        <v>1</v>
      </c>
      <c r="E61" s="8" t="s">
        <v>39</v>
      </c>
    </row>
    <row r="62" customFormat="false" ht="30" hidden="false" customHeight="true" outlineLevel="0" collapsed="false">
      <c r="A62" s="5" t="n">
        <v>45</v>
      </c>
      <c r="B62" s="8" t="s">
        <v>91</v>
      </c>
      <c r="C62" s="5" t="s">
        <v>131</v>
      </c>
      <c r="D62" s="5" t="n">
        <f aca="false">_xlfn.IFS(C62="Yes",1,C62="Partial",0.5,C62="N/A","N/A",C62="No",0)</f>
        <v>0.5</v>
      </c>
      <c r="E62" s="8" t="s">
        <v>132</v>
      </c>
    </row>
    <row r="63" customFormat="false" ht="15" hidden="false" customHeight="true" outlineLevel="0" collapsed="false">
      <c r="A63" s="9"/>
      <c r="B63" s="10" t="s">
        <v>92</v>
      </c>
      <c r="C63" s="10"/>
      <c r="D63" s="11" t="n">
        <f aca="false">IFERROR(AVERAGEIF(D54:D62,"&lt;&gt;N/A",D54:D62),0)</f>
        <v>0.833333333333333</v>
      </c>
      <c r="E63" s="9"/>
    </row>
    <row r="65" customFormat="false" ht="15" hidden="false" customHeight="true" outlineLevel="0" collapsed="false">
      <c r="A65" s="7" t="s">
        <v>93</v>
      </c>
      <c r="B65" s="7"/>
      <c r="C65" s="7"/>
      <c r="D65" s="7"/>
      <c r="E65" s="7"/>
    </row>
    <row r="66" customFormat="false" ht="30" hidden="false" customHeight="true" outlineLevel="0" collapsed="false">
      <c r="A66" s="5" t="n">
        <v>46</v>
      </c>
      <c r="B66" s="8" t="s">
        <v>94</v>
      </c>
      <c r="C66" s="5" t="s">
        <v>38</v>
      </c>
      <c r="D66" s="5" t="n">
        <f aca="false">_xlfn.IFS(C66="Yes",1,C66="Partial",0.5,C66="N/A","N/A",C66="No",0)</f>
        <v>1</v>
      </c>
      <c r="E66" s="8" t="s">
        <v>39</v>
      </c>
    </row>
    <row r="67" customFormat="false" ht="30" hidden="false" customHeight="true" outlineLevel="0" collapsed="false">
      <c r="A67" s="5" t="n">
        <v>47</v>
      </c>
      <c r="B67" s="8" t="s">
        <v>95</v>
      </c>
      <c r="C67" s="5" t="s">
        <v>131</v>
      </c>
      <c r="D67" s="5" t="n">
        <f aca="false">_xlfn.IFS(C67="Yes",1,C67="Partial",0.5,C67="N/A","N/A",C67="No",0)</f>
        <v>0.5</v>
      </c>
      <c r="E67" s="8" t="s">
        <v>132</v>
      </c>
    </row>
    <row r="68" customFormat="false" ht="30" hidden="false" customHeight="true" outlineLevel="0" collapsed="false">
      <c r="A68" s="5" t="n">
        <v>48</v>
      </c>
      <c r="B68" s="8" t="s">
        <v>96</v>
      </c>
      <c r="C68" s="5" t="s">
        <v>38</v>
      </c>
      <c r="D68" s="5" t="n">
        <f aca="false">_xlfn.IFS(C68="Yes",1,C68="Partial",0.5,C68="N/A","N/A",C68="No",0)</f>
        <v>1</v>
      </c>
      <c r="E68" s="8" t="s">
        <v>39</v>
      </c>
    </row>
    <row r="69" customFormat="false" ht="30" hidden="false" customHeight="true" outlineLevel="0" collapsed="false">
      <c r="A69" s="5" t="n">
        <v>49</v>
      </c>
      <c r="B69" s="8" t="s">
        <v>97</v>
      </c>
      <c r="C69" s="5" t="s">
        <v>38</v>
      </c>
      <c r="D69" s="5" t="n">
        <f aca="false">_xlfn.IFS(C69="Yes",1,C69="Partial",0.5,C69="N/A","N/A",C69="No",0)</f>
        <v>1</v>
      </c>
      <c r="E69" s="8" t="s">
        <v>39</v>
      </c>
    </row>
    <row r="70" customFormat="false" ht="30" hidden="false" customHeight="true" outlineLevel="0" collapsed="false">
      <c r="A70" s="5" t="n">
        <v>50</v>
      </c>
      <c r="B70" s="8" t="s">
        <v>98</v>
      </c>
      <c r="C70" s="5" t="s">
        <v>131</v>
      </c>
      <c r="D70" s="5" t="n">
        <f aca="false">_xlfn.IFS(C70="Yes",1,C70="Partial",0.5,C70="N/A","N/A",C70="No",0)</f>
        <v>0.5</v>
      </c>
      <c r="E70" s="8" t="s">
        <v>132</v>
      </c>
    </row>
    <row r="71" customFormat="false" ht="30" hidden="false" customHeight="true" outlineLevel="0" collapsed="false">
      <c r="A71" s="5" t="n">
        <v>51</v>
      </c>
      <c r="B71" s="8" t="s">
        <v>99</v>
      </c>
      <c r="C71" s="5" t="s">
        <v>131</v>
      </c>
      <c r="D71" s="5" t="n">
        <f aca="false">_xlfn.IFS(C71="Yes",1,C71="Partial",0.5,C71="N/A","N/A",C71="No",0)</f>
        <v>0.5</v>
      </c>
      <c r="E71" s="8" t="s">
        <v>132</v>
      </c>
    </row>
    <row r="72" customFormat="false" ht="30" hidden="false" customHeight="true" outlineLevel="0" collapsed="false">
      <c r="A72" s="5" t="n">
        <v>52</v>
      </c>
      <c r="B72" s="8" t="s">
        <v>100</v>
      </c>
      <c r="C72" s="5" t="s">
        <v>38</v>
      </c>
      <c r="D72" s="5" t="n">
        <f aca="false">_xlfn.IFS(C72="Yes",1,C72="Partial",0.5,C72="N/A","N/A",C72="No",0)</f>
        <v>1</v>
      </c>
      <c r="E72" s="8" t="s">
        <v>39</v>
      </c>
    </row>
    <row r="73" customFormat="false" ht="30" hidden="false" customHeight="true" outlineLevel="0" collapsed="false">
      <c r="A73" s="5" t="n">
        <v>53</v>
      </c>
      <c r="B73" s="8" t="s">
        <v>101</v>
      </c>
      <c r="C73" s="5" t="s">
        <v>38</v>
      </c>
      <c r="D73" s="5" t="n">
        <f aca="false">_xlfn.IFS(C73="Yes",1,C73="Partial",0.5,C73="N/A","N/A",C73="No",0)</f>
        <v>1</v>
      </c>
      <c r="E73" s="8" t="s">
        <v>39</v>
      </c>
    </row>
    <row r="74" customFormat="false" ht="30" hidden="false" customHeight="true" outlineLevel="0" collapsed="false">
      <c r="A74" s="5" t="n">
        <v>54</v>
      </c>
      <c r="B74" s="8" t="s">
        <v>102</v>
      </c>
      <c r="C74" s="5" t="s">
        <v>38</v>
      </c>
      <c r="D74" s="5" t="n">
        <f aca="false">_xlfn.IFS(C74="Yes",1,C74="Partial",0.5,C74="N/A","N/A",C74="No",0)</f>
        <v>1</v>
      </c>
      <c r="E74" s="8" t="s">
        <v>39</v>
      </c>
    </row>
    <row r="75" customFormat="false" ht="15" hidden="false" customHeight="true" outlineLevel="0" collapsed="false">
      <c r="A75" s="9"/>
      <c r="B75" s="10" t="s">
        <v>103</v>
      </c>
      <c r="C75" s="10"/>
      <c r="D75" s="11" t="n">
        <f aca="false">IFERROR(AVERAGEIF(D66:D74,"&lt;&gt;N/A",D66:D74),0)</f>
        <v>0.833333333333333</v>
      </c>
      <c r="E75" s="9"/>
    </row>
    <row r="77" customFormat="false" ht="15" hidden="false" customHeight="true" outlineLevel="0" collapsed="false">
      <c r="A77" s="7" t="s">
        <v>104</v>
      </c>
      <c r="B77" s="7"/>
      <c r="C77" s="7"/>
      <c r="D77" s="7"/>
      <c r="E77" s="7"/>
    </row>
    <row r="78" customFormat="false" ht="30" hidden="false" customHeight="true" outlineLevel="0" collapsed="false">
      <c r="A78" s="5" t="n">
        <v>55</v>
      </c>
      <c r="B78" s="8" t="s">
        <v>105</v>
      </c>
      <c r="C78" s="5" t="s">
        <v>131</v>
      </c>
      <c r="D78" s="5" t="n">
        <f aca="false">_xlfn.IFS(C78="Yes",1,C78="Partial",0.5,C78="N/A","N/A",C78="No",0)</f>
        <v>0.5</v>
      </c>
      <c r="E78" s="8" t="s">
        <v>132</v>
      </c>
    </row>
    <row r="79" customFormat="false" ht="30" hidden="false" customHeight="true" outlineLevel="0" collapsed="false">
      <c r="A79" s="5" t="n">
        <v>56</v>
      </c>
      <c r="B79" s="8" t="s">
        <v>106</v>
      </c>
      <c r="C79" s="5" t="s">
        <v>131</v>
      </c>
      <c r="D79" s="5" t="n">
        <f aca="false">_xlfn.IFS(C79="Yes",1,C79="Partial",0.5,C79="N/A","N/A",C79="No",0)</f>
        <v>0.5</v>
      </c>
      <c r="E79" s="8" t="s">
        <v>132</v>
      </c>
    </row>
    <row r="80" customFormat="false" ht="30" hidden="false" customHeight="true" outlineLevel="0" collapsed="false">
      <c r="A80" s="5" t="n">
        <v>57</v>
      </c>
      <c r="B80" s="8" t="s">
        <v>107</v>
      </c>
      <c r="C80" s="5" t="s">
        <v>108</v>
      </c>
      <c r="D80" s="5" t="str">
        <f aca="false">_xlfn.IFS(C80="Yes",1,C80="Partial",0.5,C80="N/A","N/A",C80="No",0)</f>
        <v>N/A</v>
      </c>
      <c r="E80" s="8" t="s">
        <v>109</v>
      </c>
    </row>
    <row r="81" customFormat="false" ht="30" hidden="false" customHeight="true" outlineLevel="0" collapsed="false">
      <c r="A81" s="5" t="n">
        <v>58</v>
      </c>
      <c r="B81" s="8" t="s">
        <v>110</v>
      </c>
      <c r="C81" s="5" t="s">
        <v>38</v>
      </c>
      <c r="D81" s="5" t="n">
        <f aca="false">_xlfn.IFS(C81="Yes",1,C81="Partial",0.5,C81="N/A","N/A",C81="No",0)</f>
        <v>1</v>
      </c>
      <c r="E81" s="8" t="s">
        <v>39</v>
      </c>
    </row>
    <row r="82" customFormat="false" ht="30" hidden="false" customHeight="true" outlineLevel="0" collapsed="false">
      <c r="A82" s="5" t="n">
        <v>59</v>
      </c>
      <c r="B82" s="8" t="s">
        <v>111</v>
      </c>
      <c r="C82" s="5" t="s">
        <v>38</v>
      </c>
      <c r="D82" s="5" t="n">
        <f aca="false">_xlfn.IFS(C82="Yes",1,C82="Partial",0.5,C82="N/A","N/A",C82="No",0)</f>
        <v>1</v>
      </c>
      <c r="E82" s="8" t="s">
        <v>39</v>
      </c>
    </row>
    <row r="83" customFormat="false" ht="30" hidden="false" customHeight="true" outlineLevel="0" collapsed="false">
      <c r="A83" s="5" t="n">
        <v>60</v>
      </c>
      <c r="B83" s="8" t="s">
        <v>112</v>
      </c>
      <c r="C83" s="5" t="s">
        <v>131</v>
      </c>
      <c r="D83" s="5" t="n">
        <f aca="false">_xlfn.IFS(C83="Yes",1,C83="Partial",0.5,C83="N/A","N/A",C83="No",0)</f>
        <v>0.5</v>
      </c>
      <c r="E83" s="8" t="s">
        <v>132</v>
      </c>
    </row>
    <row r="84" customFormat="false" ht="30" hidden="false" customHeight="true" outlineLevel="0" collapsed="false">
      <c r="A84" s="5" t="n">
        <v>61</v>
      </c>
      <c r="B84" s="8" t="s">
        <v>113</v>
      </c>
      <c r="C84" s="5" t="s">
        <v>131</v>
      </c>
      <c r="D84" s="5" t="n">
        <f aca="false">_xlfn.IFS(C84="Yes",1,C84="Partial",0.5,C84="N/A","N/A",C84="No",0)</f>
        <v>0.5</v>
      </c>
      <c r="E84" s="8" t="s">
        <v>132</v>
      </c>
    </row>
    <row r="85" customFormat="false" ht="30" hidden="false" customHeight="true" outlineLevel="0" collapsed="false">
      <c r="A85" s="5" t="n">
        <v>62</v>
      </c>
      <c r="B85" s="8" t="s">
        <v>114</v>
      </c>
      <c r="C85" s="5" t="s">
        <v>131</v>
      </c>
      <c r="D85" s="5" t="n">
        <f aca="false">_xlfn.IFS(C85="Yes",1,C85="Partial",0.5,C85="N/A","N/A",C85="No",0)</f>
        <v>0.5</v>
      </c>
      <c r="E85" s="8" t="s">
        <v>132</v>
      </c>
    </row>
    <row r="86" customFormat="false" ht="30" hidden="false" customHeight="true" outlineLevel="0" collapsed="false">
      <c r="A86" s="5" t="n">
        <v>63</v>
      </c>
      <c r="B86" s="8" t="s">
        <v>115</v>
      </c>
      <c r="C86" s="5" t="s">
        <v>131</v>
      </c>
      <c r="D86" s="5" t="n">
        <f aca="false">_xlfn.IFS(C86="Yes",1,C86="Partial",0.5,C86="N/A","N/A",C86="No",0)</f>
        <v>0.5</v>
      </c>
      <c r="E86" s="8" t="s">
        <v>132</v>
      </c>
    </row>
    <row r="87" customFormat="false" ht="15" hidden="false" customHeight="true" outlineLevel="0" collapsed="false">
      <c r="A87" s="9"/>
      <c r="B87" s="10" t="s">
        <v>116</v>
      </c>
      <c r="C87" s="10"/>
      <c r="D87" s="11" t="n">
        <f aca="false">IFERROR(AVERAGEIF(D78:D86,"&lt;&gt;N/A",D78:D86),0)</f>
        <v>0.625</v>
      </c>
      <c r="E87" s="9"/>
    </row>
    <row r="89" customFormat="false" ht="15" hidden="false" customHeight="true" outlineLevel="0" collapsed="false">
      <c r="A89" s="7" t="s">
        <v>117</v>
      </c>
      <c r="B89" s="7"/>
      <c r="C89" s="7"/>
      <c r="D89" s="7"/>
      <c r="E89" s="7"/>
    </row>
    <row r="90" customFormat="false" ht="30" hidden="false" customHeight="true" outlineLevel="0" collapsed="false">
      <c r="A90" s="5" t="n">
        <v>64</v>
      </c>
      <c r="B90" s="8" t="s">
        <v>118</v>
      </c>
      <c r="C90" s="5" t="s">
        <v>131</v>
      </c>
      <c r="D90" s="5" t="n">
        <f aca="false">_xlfn.IFS(C90="Yes",1,C90="Partial",0.5,C90="N/A","N/A",C90="No",0)</f>
        <v>0.5</v>
      </c>
      <c r="E90" s="8" t="s">
        <v>132</v>
      </c>
    </row>
    <row r="91" customFormat="false" ht="30" hidden="false" customHeight="true" outlineLevel="0" collapsed="false">
      <c r="A91" s="5" t="n">
        <v>65</v>
      </c>
      <c r="B91" s="8" t="s">
        <v>119</v>
      </c>
      <c r="C91" s="5" t="s">
        <v>131</v>
      </c>
      <c r="D91" s="5" t="n">
        <f aca="false">_xlfn.IFS(C91="Yes",1,C91="Partial",0.5,C91="N/A","N/A",C91="No",0)</f>
        <v>0.5</v>
      </c>
      <c r="E91" s="8" t="s">
        <v>132</v>
      </c>
    </row>
    <row r="92" customFormat="false" ht="30" hidden="false" customHeight="true" outlineLevel="0" collapsed="false">
      <c r="A92" s="5" t="n">
        <v>66</v>
      </c>
      <c r="B92" s="8" t="s">
        <v>120</v>
      </c>
      <c r="C92" s="5" t="s">
        <v>131</v>
      </c>
      <c r="D92" s="5" t="n">
        <f aca="false">_xlfn.IFS(C92="Yes",1,C92="Partial",0.5,C92="N/A","N/A",C92="No",0)</f>
        <v>0.5</v>
      </c>
      <c r="E92" s="8" t="s">
        <v>132</v>
      </c>
    </row>
    <row r="93" customFormat="false" ht="30" hidden="false" customHeight="true" outlineLevel="0" collapsed="false">
      <c r="A93" s="5" t="n">
        <v>67</v>
      </c>
      <c r="B93" s="8" t="s">
        <v>121</v>
      </c>
      <c r="C93" s="5" t="s">
        <v>131</v>
      </c>
      <c r="D93" s="5" t="n">
        <f aca="false">_xlfn.IFS(C93="Yes",1,C93="Partial",0.5,C93="N/A","N/A",C93="No",0)</f>
        <v>0.5</v>
      </c>
      <c r="E93" s="8" t="s">
        <v>132</v>
      </c>
    </row>
    <row r="94" customFormat="false" ht="30" hidden="false" customHeight="true" outlineLevel="0" collapsed="false">
      <c r="A94" s="5" t="n">
        <v>68</v>
      </c>
      <c r="B94" s="8" t="s">
        <v>122</v>
      </c>
      <c r="C94" s="5" t="s">
        <v>38</v>
      </c>
      <c r="D94" s="5" t="n">
        <f aca="false">_xlfn.IFS(C94="Yes",1,C94="Partial",0.5,C94="N/A","N/A",C94="No",0)</f>
        <v>1</v>
      </c>
      <c r="E94" s="8" t="s">
        <v>39</v>
      </c>
    </row>
    <row r="95" customFormat="false" ht="30" hidden="false" customHeight="true" outlineLevel="0" collapsed="false">
      <c r="A95" s="5" t="n">
        <v>69</v>
      </c>
      <c r="B95" s="8" t="s">
        <v>123</v>
      </c>
      <c r="C95" s="5" t="s">
        <v>131</v>
      </c>
      <c r="D95" s="5" t="n">
        <f aca="false">_xlfn.IFS(C95="Yes",1,C95="Partial",0.5,C95="N/A","N/A",C95="No",0)</f>
        <v>0.5</v>
      </c>
      <c r="E95" s="8" t="s">
        <v>132</v>
      </c>
    </row>
    <row r="96" customFormat="false" ht="30" hidden="false" customHeight="true" outlineLevel="0" collapsed="false">
      <c r="A96" s="5" t="n">
        <v>70</v>
      </c>
      <c r="B96" s="8" t="s">
        <v>124</v>
      </c>
      <c r="C96" s="5" t="s">
        <v>131</v>
      </c>
      <c r="D96" s="5" t="n">
        <f aca="false">_xlfn.IFS(C96="Yes",1,C96="Partial",0.5,C96="N/A","N/A",C96="No",0)</f>
        <v>0.5</v>
      </c>
      <c r="E96" s="8" t="s">
        <v>132</v>
      </c>
    </row>
    <row r="97" customFormat="false" ht="30" hidden="false" customHeight="true" outlineLevel="0" collapsed="false">
      <c r="A97" s="5" t="n">
        <v>71</v>
      </c>
      <c r="B97" s="8" t="s">
        <v>125</v>
      </c>
      <c r="C97" s="5" t="s">
        <v>131</v>
      </c>
      <c r="D97" s="5" t="n">
        <f aca="false">_xlfn.IFS(C97="Yes",1,C97="Partial",0.5,C97="N/A","N/A",C97="No",0)</f>
        <v>0.5</v>
      </c>
      <c r="E97" s="8" t="s">
        <v>132</v>
      </c>
    </row>
    <row r="98" customFormat="false" ht="15" hidden="false" customHeight="true" outlineLevel="0" collapsed="false">
      <c r="A98" s="9"/>
      <c r="B98" s="10" t="s">
        <v>126</v>
      </c>
      <c r="C98" s="10"/>
      <c r="D98" s="11" t="n">
        <f aca="false">IFERROR(AVERAGEIF(D90:D97,"&lt;&gt;N/A",D90:D97),0)</f>
        <v>0.5625</v>
      </c>
      <c r="E98" s="9"/>
    </row>
    <row r="100" customFormat="false" ht="15" hidden="false" customHeight="true" outlineLevel="0" collapsed="false">
      <c r="A100" s="12" t="s">
        <v>127</v>
      </c>
      <c r="B100" s="12"/>
      <c r="C100" s="12"/>
      <c r="D100" s="13" t="n">
        <f aca="false">AVERAGE(D15,D27,D39,D51,D63,D75,D87,D98)</f>
        <v>0.752604166666667</v>
      </c>
      <c r="E100" s="14"/>
    </row>
    <row r="101" customFormat="false" ht="23.25" hidden="false" customHeight="true" outlineLevel="0" collapsed="false">
      <c r="A101" s="12" t="s">
        <v>128</v>
      </c>
      <c r="B101" s="12"/>
      <c r="C101" s="12"/>
      <c r="D101" s="15" t="str">
        <f aca="false">_xlfn.IFS(D100&gt;=0.85,"Low Risk",D100&gt;=0.65,"Medium Risk",D100&gt;=0.45,"High Risk",D100&lt;0.45,"Critical Risk")</f>
        <v>Medium Risk</v>
      </c>
      <c r="E101" s="14"/>
    </row>
  </sheetData>
  <mergeCells count="18">
    <mergeCell ref="A5:E5"/>
    <mergeCell ref="B15:C15"/>
    <mergeCell ref="A17:E17"/>
    <mergeCell ref="B27:C27"/>
    <mergeCell ref="A29:E29"/>
    <mergeCell ref="B39:C39"/>
    <mergeCell ref="A41:E41"/>
    <mergeCell ref="B51:C51"/>
    <mergeCell ref="A53:E53"/>
    <mergeCell ref="B63:C63"/>
    <mergeCell ref="A65:E65"/>
    <mergeCell ref="B75:C75"/>
    <mergeCell ref="A77:E77"/>
    <mergeCell ref="B87:C87"/>
    <mergeCell ref="A89:E89"/>
    <mergeCell ref="B98:C98"/>
    <mergeCell ref="A100:C100"/>
    <mergeCell ref="A101:C101"/>
  </mergeCells>
  <conditionalFormatting sqref="C5:C98">
    <cfRule type="cellIs" priority="2" operator="equal" aboveAverage="0" equalAverage="0" bottom="0" percent="0" rank="0" text="" dxfId="3">
      <formula>"Yes"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1">
      <formula>"No"</formula>
    </cfRule>
  </conditionalFormatting>
  <conditionalFormatting sqref="D101">
    <cfRule type="cellIs" priority="5" operator="equal" aboveAverage="0" equalAverage="0" bottom="0" percent="0" rank="0" text="" dxfId="0">
      <formula>"Critical Risk"</formula>
    </cfRule>
    <cfRule type="cellIs" priority="6" operator="equal" aboveAverage="0" equalAverage="0" bottom="0" percent="0" rank="0" text="" dxfId="1">
      <formula>"High Risk"</formula>
    </cfRule>
    <cfRule type="cellIs" priority="7" operator="equal" aboveAverage="0" equalAverage="0" bottom="0" percent="0" rank="0" text="" dxfId="2">
      <formula>"Medium Risk"</formula>
    </cfRule>
    <cfRule type="cellIs" priority="8" operator="equal" aboveAverage="0" equalAverage="0" bottom="0" percent="0" rank="0" text="" dxfId="3">
      <formula>"Low Risk"</formula>
    </cfRule>
  </conditionalFormatting>
  <dataValidations count="1">
    <dataValidation allowBlank="false" errorStyle="stop" operator="between" showDropDown="false" showErrorMessage="false" showInputMessage="false" sqref="C5:C98" type="list">
      <formula1>"Yes,Partial,No,N/A"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2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38"/>
  </cols>
  <sheetData>
    <row r="1" customFormat="false" ht="17.25" hidden="false" customHeight="true" outlineLevel="0" collapsed="false">
      <c r="A1" s="2" t="s">
        <v>137</v>
      </c>
    </row>
    <row r="2" customFormat="false" ht="15" hidden="false" customHeight="true" outlineLevel="0" collapsed="false">
      <c r="A2" s="3" t="s">
        <v>138</v>
      </c>
    </row>
    <row r="4" customFormat="false" ht="15" hidden="false" customHeight="true" outlineLevel="0" collapsed="false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</row>
    <row r="5" customFormat="false" ht="15" hidden="false" customHeight="true" outlineLevel="0" collapsed="false">
      <c r="A5" s="7" t="s">
        <v>36</v>
      </c>
      <c r="B5" s="7"/>
      <c r="C5" s="7"/>
      <c r="D5" s="7"/>
      <c r="E5" s="7"/>
    </row>
    <row r="6" customFormat="false" ht="30" hidden="false" customHeight="true" outlineLevel="0" collapsed="false">
      <c r="A6" s="5" t="n">
        <v>1</v>
      </c>
      <c r="B6" s="8" t="s">
        <v>37</v>
      </c>
      <c r="C6" s="5" t="s">
        <v>131</v>
      </c>
      <c r="D6" s="5" t="n">
        <f aca="false">_xlfn.IFS(C6="Yes",1,C6="Partial",0.5,C6="N/A","N/A",C6="No",0)</f>
        <v>0.5</v>
      </c>
      <c r="E6" s="8" t="s">
        <v>132</v>
      </c>
    </row>
    <row r="7" customFormat="false" ht="30" hidden="false" customHeight="true" outlineLevel="0" collapsed="false">
      <c r="A7" s="5" t="n">
        <v>2</v>
      </c>
      <c r="B7" s="8" t="s">
        <v>40</v>
      </c>
      <c r="C7" s="5" t="s">
        <v>139</v>
      </c>
      <c r="D7" s="5" t="n">
        <f aca="false">_xlfn.IFS(C7="Yes",1,C7="Partial",0.5,C7="N/A","N/A",C7="No",0)</f>
        <v>0</v>
      </c>
      <c r="E7" s="8" t="s">
        <v>140</v>
      </c>
    </row>
    <row r="8" customFormat="false" ht="30" hidden="false" customHeight="true" outlineLevel="0" collapsed="false">
      <c r="A8" s="5" t="n">
        <v>3</v>
      </c>
      <c r="B8" s="8" t="s">
        <v>41</v>
      </c>
      <c r="C8" s="5" t="s">
        <v>131</v>
      </c>
      <c r="D8" s="5" t="n">
        <f aca="false">_xlfn.IFS(C8="Yes",1,C8="Partial",0.5,C8="N/A","N/A",C8="No",0)</f>
        <v>0.5</v>
      </c>
      <c r="E8" s="8" t="s">
        <v>132</v>
      </c>
    </row>
    <row r="9" customFormat="false" ht="30" hidden="false" customHeight="true" outlineLevel="0" collapsed="false">
      <c r="A9" s="5" t="n">
        <v>4</v>
      </c>
      <c r="B9" s="8" t="s">
        <v>42</v>
      </c>
      <c r="C9" s="5" t="s">
        <v>131</v>
      </c>
      <c r="D9" s="5" t="n">
        <f aca="false">_xlfn.IFS(C9="Yes",1,C9="Partial",0.5,C9="N/A","N/A",C9="No",0)</f>
        <v>0.5</v>
      </c>
      <c r="E9" s="8" t="s">
        <v>132</v>
      </c>
    </row>
    <row r="10" customFormat="false" ht="30" hidden="false" customHeight="true" outlineLevel="0" collapsed="false">
      <c r="A10" s="5" t="n">
        <v>5</v>
      </c>
      <c r="B10" s="8" t="s">
        <v>43</v>
      </c>
      <c r="C10" s="5" t="s">
        <v>131</v>
      </c>
      <c r="D10" s="5" t="n">
        <f aca="false">_xlfn.IFS(C10="Yes",1,C10="Partial",0.5,C10="N/A","N/A",C10="No",0)</f>
        <v>0.5</v>
      </c>
      <c r="E10" s="8" t="s">
        <v>132</v>
      </c>
    </row>
    <row r="11" customFormat="false" ht="30" hidden="false" customHeight="true" outlineLevel="0" collapsed="false">
      <c r="A11" s="5" t="n">
        <v>6</v>
      </c>
      <c r="B11" s="8" t="s">
        <v>44</v>
      </c>
      <c r="C11" s="5" t="s">
        <v>139</v>
      </c>
      <c r="D11" s="5" t="n">
        <f aca="false">_xlfn.IFS(C11="Yes",1,C11="Partial",0.5,C11="N/A","N/A",C11="No",0)</f>
        <v>0</v>
      </c>
      <c r="E11" s="8" t="s">
        <v>140</v>
      </c>
    </row>
    <row r="12" customFormat="false" ht="30" hidden="false" customHeight="true" outlineLevel="0" collapsed="false">
      <c r="A12" s="5" t="n">
        <v>7</v>
      </c>
      <c r="B12" s="8" t="s">
        <v>45</v>
      </c>
      <c r="C12" s="5" t="s">
        <v>139</v>
      </c>
      <c r="D12" s="5" t="n">
        <f aca="false">_xlfn.IFS(C12="Yes",1,C12="Partial",0.5,C12="N/A","N/A",C12="No",0)</f>
        <v>0</v>
      </c>
      <c r="E12" s="8" t="s">
        <v>140</v>
      </c>
    </row>
    <row r="13" customFormat="false" ht="30" hidden="false" customHeight="true" outlineLevel="0" collapsed="false">
      <c r="A13" s="5" t="n">
        <v>8</v>
      </c>
      <c r="B13" s="8" t="s">
        <v>46</v>
      </c>
      <c r="C13" s="5" t="s">
        <v>38</v>
      </c>
      <c r="D13" s="5" t="n">
        <f aca="false">_xlfn.IFS(C13="Yes",1,C13="Partial",0.5,C13="N/A","N/A",C13="No",0)</f>
        <v>1</v>
      </c>
      <c r="E13" s="8" t="s">
        <v>39</v>
      </c>
    </row>
    <row r="14" customFormat="false" ht="30" hidden="false" customHeight="true" outlineLevel="0" collapsed="false">
      <c r="A14" s="5" t="n">
        <v>9</v>
      </c>
      <c r="B14" s="8" t="s">
        <v>47</v>
      </c>
      <c r="C14" s="5" t="s">
        <v>131</v>
      </c>
      <c r="D14" s="5" t="n">
        <f aca="false">_xlfn.IFS(C14="Yes",1,C14="Partial",0.5,C14="N/A","N/A",C14="No",0)</f>
        <v>0.5</v>
      </c>
      <c r="E14" s="8" t="s">
        <v>132</v>
      </c>
    </row>
    <row r="15" customFormat="false" ht="15" hidden="false" customHeight="true" outlineLevel="0" collapsed="false">
      <c r="A15" s="9"/>
      <c r="B15" s="10" t="s">
        <v>48</v>
      </c>
      <c r="C15" s="10"/>
      <c r="D15" s="11" t="n">
        <f aca="false">IFERROR(AVERAGEIF(D6:D14,"&lt;&gt;N/A",D6:D14),0)</f>
        <v>0.388888888888889</v>
      </c>
      <c r="E15" s="9"/>
    </row>
    <row r="17" customFormat="false" ht="15" hidden="false" customHeight="true" outlineLevel="0" collapsed="false">
      <c r="A17" s="7" t="s">
        <v>49</v>
      </c>
      <c r="B17" s="7"/>
      <c r="C17" s="7"/>
      <c r="D17" s="7"/>
      <c r="E17" s="7"/>
    </row>
    <row r="18" customFormat="false" ht="30" hidden="false" customHeight="true" outlineLevel="0" collapsed="false">
      <c r="A18" s="5" t="n">
        <v>10</v>
      </c>
      <c r="B18" s="8" t="s">
        <v>50</v>
      </c>
      <c r="C18" s="5" t="s">
        <v>131</v>
      </c>
      <c r="D18" s="5" t="n">
        <f aca="false">_xlfn.IFS(C18="Yes",1,C18="Partial",0.5,C18="N/A","N/A",C18="No",0)</f>
        <v>0.5</v>
      </c>
      <c r="E18" s="8" t="s">
        <v>132</v>
      </c>
    </row>
    <row r="19" customFormat="false" ht="30" hidden="false" customHeight="true" outlineLevel="0" collapsed="false">
      <c r="A19" s="5" t="n">
        <v>11</v>
      </c>
      <c r="B19" s="8" t="s">
        <v>51</v>
      </c>
      <c r="C19" s="5" t="s">
        <v>38</v>
      </c>
      <c r="D19" s="5" t="n">
        <f aca="false">_xlfn.IFS(C19="Yes",1,C19="Partial",0.5,C19="N/A","N/A",C19="No",0)</f>
        <v>1</v>
      </c>
      <c r="E19" s="8" t="s">
        <v>39</v>
      </c>
    </row>
    <row r="20" customFormat="false" ht="30" hidden="false" customHeight="true" outlineLevel="0" collapsed="false">
      <c r="A20" s="5" t="n">
        <v>12</v>
      </c>
      <c r="B20" s="8" t="s">
        <v>52</v>
      </c>
      <c r="C20" s="5" t="s">
        <v>38</v>
      </c>
      <c r="D20" s="5" t="n">
        <f aca="false">_xlfn.IFS(C20="Yes",1,C20="Partial",0.5,C20="N/A","N/A",C20="No",0)</f>
        <v>1</v>
      </c>
      <c r="E20" s="8" t="s">
        <v>39</v>
      </c>
    </row>
    <row r="21" customFormat="false" ht="30" hidden="false" customHeight="true" outlineLevel="0" collapsed="false">
      <c r="A21" s="5" t="n">
        <v>13</v>
      </c>
      <c r="B21" s="8" t="s">
        <v>53</v>
      </c>
      <c r="C21" s="5" t="s">
        <v>139</v>
      </c>
      <c r="D21" s="5" t="n">
        <f aca="false">_xlfn.IFS(C21="Yes",1,C21="Partial",0.5,C21="N/A","N/A",C21="No",0)</f>
        <v>0</v>
      </c>
      <c r="E21" s="8" t="s">
        <v>140</v>
      </c>
    </row>
    <row r="22" customFormat="false" ht="30" hidden="false" customHeight="true" outlineLevel="0" collapsed="false">
      <c r="A22" s="5" t="n">
        <v>14</v>
      </c>
      <c r="B22" s="8" t="s">
        <v>54</v>
      </c>
      <c r="C22" s="5" t="s">
        <v>131</v>
      </c>
      <c r="D22" s="5" t="n">
        <f aca="false">_xlfn.IFS(C22="Yes",1,C22="Partial",0.5,C22="N/A","N/A",C22="No",0)</f>
        <v>0.5</v>
      </c>
      <c r="E22" s="8" t="s">
        <v>132</v>
      </c>
    </row>
    <row r="23" customFormat="false" ht="30" hidden="false" customHeight="true" outlineLevel="0" collapsed="false">
      <c r="A23" s="5" t="n">
        <v>15</v>
      </c>
      <c r="B23" s="8" t="s">
        <v>55</v>
      </c>
      <c r="C23" s="5" t="s">
        <v>139</v>
      </c>
      <c r="D23" s="5" t="n">
        <f aca="false">_xlfn.IFS(C23="Yes",1,C23="Partial",0.5,C23="N/A","N/A",C23="No",0)</f>
        <v>0</v>
      </c>
      <c r="E23" s="8" t="s">
        <v>140</v>
      </c>
    </row>
    <row r="24" customFormat="false" ht="30" hidden="false" customHeight="true" outlineLevel="0" collapsed="false">
      <c r="A24" s="5" t="n">
        <v>16</v>
      </c>
      <c r="B24" s="8" t="s">
        <v>56</v>
      </c>
      <c r="C24" s="5" t="s">
        <v>139</v>
      </c>
      <c r="D24" s="5" t="n">
        <f aca="false">_xlfn.IFS(C24="Yes",1,C24="Partial",0.5,C24="N/A","N/A",C24="No",0)</f>
        <v>0</v>
      </c>
      <c r="E24" s="8" t="s">
        <v>140</v>
      </c>
    </row>
    <row r="25" customFormat="false" ht="30" hidden="false" customHeight="true" outlineLevel="0" collapsed="false">
      <c r="A25" s="5" t="n">
        <v>17</v>
      </c>
      <c r="B25" s="8" t="s">
        <v>57</v>
      </c>
      <c r="C25" s="5" t="s">
        <v>131</v>
      </c>
      <c r="D25" s="5" t="n">
        <f aca="false">_xlfn.IFS(C25="Yes",1,C25="Partial",0.5,C25="N/A","N/A",C25="No",0)</f>
        <v>0.5</v>
      </c>
      <c r="E25" s="8" t="s">
        <v>132</v>
      </c>
    </row>
    <row r="26" customFormat="false" ht="30" hidden="false" customHeight="true" outlineLevel="0" collapsed="false">
      <c r="A26" s="5" t="n">
        <v>18</v>
      </c>
      <c r="B26" s="8" t="s">
        <v>58</v>
      </c>
      <c r="C26" s="5" t="s">
        <v>131</v>
      </c>
      <c r="D26" s="5" t="n">
        <f aca="false">_xlfn.IFS(C26="Yes",1,C26="Partial",0.5,C26="N/A","N/A",C26="No",0)</f>
        <v>0.5</v>
      </c>
      <c r="E26" s="8" t="s">
        <v>132</v>
      </c>
    </row>
    <row r="27" customFormat="false" ht="15" hidden="false" customHeight="true" outlineLevel="0" collapsed="false">
      <c r="A27" s="9"/>
      <c r="B27" s="10" t="s">
        <v>59</v>
      </c>
      <c r="C27" s="10"/>
      <c r="D27" s="11" t="n">
        <f aca="false">IFERROR(AVERAGEIF(D18:D26,"&lt;&gt;N/A",D18:D26),0)</f>
        <v>0.444444444444444</v>
      </c>
      <c r="E27" s="9"/>
    </row>
    <row r="29" customFormat="false" ht="15" hidden="false" customHeight="true" outlineLevel="0" collapsed="false">
      <c r="A29" s="7" t="s">
        <v>60</v>
      </c>
      <c r="B29" s="7"/>
      <c r="C29" s="7"/>
      <c r="D29" s="7"/>
      <c r="E29" s="7"/>
    </row>
    <row r="30" customFormat="false" ht="30" hidden="false" customHeight="true" outlineLevel="0" collapsed="false">
      <c r="A30" s="5" t="n">
        <v>19</v>
      </c>
      <c r="B30" s="8" t="s">
        <v>61</v>
      </c>
      <c r="C30" s="5" t="s">
        <v>131</v>
      </c>
      <c r="D30" s="5" t="n">
        <f aca="false">_xlfn.IFS(C30="Yes",1,C30="Partial",0.5,C30="N/A","N/A",C30="No",0)</f>
        <v>0.5</v>
      </c>
      <c r="E30" s="8" t="s">
        <v>132</v>
      </c>
    </row>
    <row r="31" customFormat="false" ht="30" hidden="false" customHeight="true" outlineLevel="0" collapsed="false">
      <c r="A31" s="5" t="n">
        <v>20</v>
      </c>
      <c r="B31" s="8" t="s">
        <v>62</v>
      </c>
      <c r="C31" s="5" t="s">
        <v>131</v>
      </c>
      <c r="D31" s="5" t="n">
        <f aca="false">_xlfn.IFS(C31="Yes",1,C31="Partial",0.5,C31="N/A","N/A",C31="No",0)</f>
        <v>0.5</v>
      </c>
      <c r="E31" s="8" t="s">
        <v>132</v>
      </c>
    </row>
    <row r="32" customFormat="false" ht="30" hidden="false" customHeight="true" outlineLevel="0" collapsed="false">
      <c r="A32" s="5" t="n">
        <v>21</v>
      </c>
      <c r="B32" s="8" t="s">
        <v>63</v>
      </c>
      <c r="C32" s="5" t="s">
        <v>131</v>
      </c>
      <c r="D32" s="5" t="n">
        <f aca="false">_xlfn.IFS(C32="Yes",1,C32="Partial",0.5,C32="N/A","N/A",C32="No",0)</f>
        <v>0.5</v>
      </c>
      <c r="E32" s="8" t="s">
        <v>132</v>
      </c>
    </row>
    <row r="33" customFormat="false" ht="30" hidden="false" customHeight="true" outlineLevel="0" collapsed="false">
      <c r="A33" s="5" t="n">
        <v>22</v>
      </c>
      <c r="B33" s="8" t="s">
        <v>64</v>
      </c>
      <c r="C33" s="5" t="s">
        <v>139</v>
      </c>
      <c r="D33" s="5" t="n">
        <f aca="false">_xlfn.IFS(C33="Yes",1,C33="Partial",0.5,C33="N/A","N/A",C33="No",0)</f>
        <v>0</v>
      </c>
      <c r="E33" s="8" t="s">
        <v>140</v>
      </c>
    </row>
    <row r="34" customFormat="false" ht="30" hidden="false" customHeight="true" outlineLevel="0" collapsed="false">
      <c r="A34" s="5" t="n">
        <v>23</v>
      </c>
      <c r="B34" s="8" t="s">
        <v>65</v>
      </c>
      <c r="C34" s="5" t="s">
        <v>131</v>
      </c>
      <c r="D34" s="5" t="n">
        <f aca="false">_xlfn.IFS(C34="Yes",1,C34="Partial",0.5,C34="N/A","N/A",C34="No",0)</f>
        <v>0.5</v>
      </c>
      <c r="E34" s="8" t="s">
        <v>132</v>
      </c>
    </row>
    <row r="35" customFormat="false" ht="30" hidden="false" customHeight="true" outlineLevel="0" collapsed="false">
      <c r="A35" s="5" t="n">
        <v>24</v>
      </c>
      <c r="B35" s="8" t="s">
        <v>66</v>
      </c>
      <c r="C35" s="5" t="s">
        <v>38</v>
      </c>
      <c r="D35" s="5" t="n">
        <f aca="false">_xlfn.IFS(C35="Yes",1,C35="Partial",0.5,C35="N/A","N/A",C35="No",0)</f>
        <v>1</v>
      </c>
      <c r="E35" s="8" t="s">
        <v>39</v>
      </c>
    </row>
    <row r="36" customFormat="false" ht="30" hidden="false" customHeight="true" outlineLevel="0" collapsed="false">
      <c r="A36" s="5" t="n">
        <v>25</v>
      </c>
      <c r="B36" s="8" t="s">
        <v>67</v>
      </c>
      <c r="C36" s="5" t="s">
        <v>139</v>
      </c>
      <c r="D36" s="5" t="n">
        <f aca="false">_xlfn.IFS(C36="Yes",1,C36="Partial",0.5,C36="N/A","N/A",C36="No",0)</f>
        <v>0</v>
      </c>
      <c r="E36" s="8" t="s">
        <v>140</v>
      </c>
    </row>
    <row r="37" customFormat="false" ht="30" hidden="false" customHeight="true" outlineLevel="0" collapsed="false">
      <c r="A37" s="5" t="n">
        <v>26</v>
      </c>
      <c r="B37" s="8" t="s">
        <v>68</v>
      </c>
      <c r="C37" s="5" t="s">
        <v>139</v>
      </c>
      <c r="D37" s="5" t="n">
        <f aca="false">_xlfn.IFS(C37="Yes",1,C37="Partial",0.5,C37="N/A","N/A",C37="No",0)</f>
        <v>0</v>
      </c>
      <c r="E37" s="8" t="s">
        <v>140</v>
      </c>
    </row>
    <row r="38" customFormat="false" ht="30" hidden="false" customHeight="true" outlineLevel="0" collapsed="false">
      <c r="A38" s="5" t="n">
        <v>27</v>
      </c>
      <c r="B38" s="8" t="s">
        <v>69</v>
      </c>
      <c r="C38" s="5" t="s">
        <v>131</v>
      </c>
      <c r="D38" s="5" t="n">
        <f aca="false">_xlfn.IFS(C38="Yes",1,C38="Partial",0.5,C38="N/A","N/A",C38="No",0)</f>
        <v>0.5</v>
      </c>
      <c r="E38" s="8" t="s">
        <v>132</v>
      </c>
    </row>
    <row r="39" customFormat="false" ht="15" hidden="false" customHeight="true" outlineLevel="0" collapsed="false">
      <c r="A39" s="9"/>
      <c r="B39" s="10" t="s">
        <v>70</v>
      </c>
      <c r="C39" s="10"/>
      <c r="D39" s="11" t="n">
        <f aca="false">IFERROR(AVERAGEIF(D30:D38,"&lt;&gt;N/A",D30:D38),0)</f>
        <v>0.388888888888889</v>
      </c>
      <c r="E39" s="9"/>
    </row>
    <row r="41" customFormat="false" ht="15" hidden="false" customHeight="true" outlineLevel="0" collapsed="false">
      <c r="A41" s="7" t="s">
        <v>71</v>
      </c>
      <c r="B41" s="7"/>
      <c r="C41" s="7"/>
      <c r="D41" s="7"/>
      <c r="E41" s="7"/>
    </row>
    <row r="42" customFormat="false" ht="30" hidden="false" customHeight="true" outlineLevel="0" collapsed="false">
      <c r="A42" s="5" t="n">
        <v>28</v>
      </c>
      <c r="B42" s="8" t="s">
        <v>72</v>
      </c>
      <c r="C42" s="5" t="s">
        <v>131</v>
      </c>
      <c r="D42" s="5" t="n">
        <f aca="false">_xlfn.IFS(C42="Yes",1,C42="Partial",0.5,C42="N/A","N/A",C42="No",0)</f>
        <v>0.5</v>
      </c>
      <c r="E42" s="8" t="s">
        <v>132</v>
      </c>
    </row>
    <row r="43" customFormat="false" ht="30" hidden="false" customHeight="true" outlineLevel="0" collapsed="false">
      <c r="A43" s="5" t="n">
        <v>29</v>
      </c>
      <c r="B43" s="8" t="s">
        <v>73</v>
      </c>
      <c r="C43" s="5" t="s">
        <v>131</v>
      </c>
      <c r="D43" s="5" t="n">
        <f aca="false">_xlfn.IFS(C43="Yes",1,C43="Partial",0.5,C43="N/A","N/A",C43="No",0)</f>
        <v>0.5</v>
      </c>
      <c r="E43" s="8" t="s">
        <v>132</v>
      </c>
    </row>
    <row r="44" customFormat="false" ht="30" hidden="false" customHeight="true" outlineLevel="0" collapsed="false">
      <c r="A44" s="5" t="n">
        <v>30</v>
      </c>
      <c r="B44" s="8" t="s">
        <v>74</v>
      </c>
      <c r="C44" s="5" t="s">
        <v>139</v>
      </c>
      <c r="D44" s="5" t="n">
        <f aca="false">_xlfn.IFS(C44="Yes",1,C44="Partial",0.5,C44="N/A","N/A",C44="No",0)</f>
        <v>0</v>
      </c>
      <c r="E44" s="8" t="s">
        <v>140</v>
      </c>
    </row>
    <row r="45" customFormat="false" ht="30" hidden="false" customHeight="true" outlineLevel="0" collapsed="false">
      <c r="A45" s="5" t="n">
        <v>31</v>
      </c>
      <c r="B45" s="8" t="s">
        <v>75</v>
      </c>
      <c r="C45" s="5" t="s">
        <v>131</v>
      </c>
      <c r="D45" s="5" t="n">
        <f aca="false">_xlfn.IFS(C45="Yes",1,C45="Partial",0.5,C45="N/A","N/A",C45="No",0)</f>
        <v>0.5</v>
      </c>
      <c r="E45" s="8" t="s">
        <v>132</v>
      </c>
    </row>
    <row r="46" customFormat="false" ht="30" hidden="false" customHeight="true" outlineLevel="0" collapsed="false">
      <c r="A46" s="5" t="n">
        <v>32</v>
      </c>
      <c r="B46" s="8" t="s">
        <v>76</v>
      </c>
      <c r="C46" s="5" t="s">
        <v>131</v>
      </c>
      <c r="D46" s="5" t="n">
        <f aca="false">_xlfn.IFS(C46="Yes",1,C46="Partial",0.5,C46="N/A","N/A",C46="No",0)</f>
        <v>0.5</v>
      </c>
      <c r="E46" s="8" t="s">
        <v>132</v>
      </c>
    </row>
    <row r="47" customFormat="false" ht="30" hidden="false" customHeight="true" outlineLevel="0" collapsed="false">
      <c r="A47" s="5" t="n">
        <v>33</v>
      </c>
      <c r="B47" s="8" t="s">
        <v>77</v>
      </c>
      <c r="C47" s="5" t="s">
        <v>139</v>
      </c>
      <c r="D47" s="5" t="n">
        <f aca="false">_xlfn.IFS(C47="Yes",1,C47="Partial",0.5,C47="N/A","N/A",C47="No",0)</f>
        <v>0</v>
      </c>
      <c r="E47" s="8" t="s">
        <v>140</v>
      </c>
    </row>
    <row r="48" customFormat="false" ht="30" hidden="false" customHeight="true" outlineLevel="0" collapsed="false">
      <c r="A48" s="5" t="n">
        <v>34</v>
      </c>
      <c r="B48" s="8" t="s">
        <v>78</v>
      </c>
      <c r="C48" s="5" t="s">
        <v>139</v>
      </c>
      <c r="D48" s="5" t="n">
        <f aca="false">_xlfn.IFS(C48="Yes",1,C48="Partial",0.5,C48="N/A","N/A",C48="No",0)</f>
        <v>0</v>
      </c>
      <c r="E48" s="8" t="s">
        <v>140</v>
      </c>
    </row>
    <row r="49" customFormat="false" ht="30" hidden="false" customHeight="true" outlineLevel="0" collapsed="false">
      <c r="A49" s="5" t="n">
        <v>35</v>
      </c>
      <c r="B49" s="8" t="s">
        <v>79</v>
      </c>
      <c r="C49" s="5" t="s">
        <v>139</v>
      </c>
      <c r="D49" s="5" t="n">
        <f aca="false">_xlfn.IFS(C49="Yes",1,C49="Partial",0.5,C49="N/A","N/A",C49="No",0)</f>
        <v>0</v>
      </c>
      <c r="E49" s="8" t="s">
        <v>140</v>
      </c>
    </row>
    <row r="50" customFormat="false" ht="30" hidden="false" customHeight="true" outlineLevel="0" collapsed="false">
      <c r="A50" s="5" t="n">
        <v>36</v>
      </c>
      <c r="B50" s="8" t="s">
        <v>80</v>
      </c>
      <c r="C50" s="5" t="s">
        <v>131</v>
      </c>
      <c r="D50" s="5" t="n">
        <f aca="false">_xlfn.IFS(C50="Yes",1,C50="Partial",0.5,C50="N/A","N/A",C50="No",0)</f>
        <v>0.5</v>
      </c>
      <c r="E50" s="8" t="s">
        <v>132</v>
      </c>
    </row>
    <row r="51" customFormat="false" ht="15" hidden="false" customHeight="true" outlineLevel="0" collapsed="false">
      <c r="A51" s="9"/>
      <c r="B51" s="10" t="s">
        <v>81</v>
      </c>
      <c r="C51" s="10"/>
      <c r="D51" s="11" t="n">
        <f aca="false">IFERROR(AVERAGEIF(D42:D50,"&lt;&gt;N/A",D42:D50),0)</f>
        <v>0.277777777777778</v>
      </c>
      <c r="E51" s="9"/>
    </row>
    <row r="53" customFormat="false" ht="15" hidden="false" customHeight="true" outlineLevel="0" collapsed="false">
      <c r="A53" s="7" t="s">
        <v>82</v>
      </c>
      <c r="B53" s="7"/>
      <c r="C53" s="7"/>
      <c r="D53" s="7"/>
      <c r="E53" s="7"/>
    </row>
    <row r="54" customFormat="false" ht="30" hidden="false" customHeight="true" outlineLevel="0" collapsed="false">
      <c r="A54" s="5" t="n">
        <v>37</v>
      </c>
      <c r="B54" s="8" t="s">
        <v>83</v>
      </c>
      <c r="C54" s="5" t="s">
        <v>131</v>
      </c>
      <c r="D54" s="5" t="n">
        <f aca="false">_xlfn.IFS(C54="Yes",1,C54="Partial",0.5,C54="N/A","N/A",C54="No",0)</f>
        <v>0.5</v>
      </c>
      <c r="E54" s="8" t="s">
        <v>132</v>
      </c>
    </row>
    <row r="55" customFormat="false" ht="30" hidden="false" customHeight="true" outlineLevel="0" collapsed="false">
      <c r="A55" s="5" t="n">
        <v>38</v>
      </c>
      <c r="B55" s="8" t="s">
        <v>84</v>
      </c>
      <c r="C55" s="5" t="s">
        <v>131</v>
      </c>
      <c r="D55" s="5" t="n">
        <f aca="false">_xlfn.IFS(C55="Yes",1,C55="Partial",0.5,C55="N/A","N/A",C55="No",0)</f>
        <v>0.5</v>
      </c>
      <c r="E55" s="8" t="s">
        <v>132</v>
      </c>
    </row>
    <row r="56" customFormat="false" ht="30" hidden="false" customHeight="true" outlineLevel="0" collapsed="false">
      <c r="A56" s="5" t="n">
        <v>39</v>
      </c>
      <c r="B56" s="8" t="s">
        <v>85</v>
      </c>
      <c r="C56" s="5" t="s">
        <v>139</v>
      </c>
      <c r="D56" s="5" t="n">
        <f aca="false">_xlfn.IFS(C56="Yes",1,C56="Partial",0.5,C56="N/A","N/A",C56="No",0)</f>
        <v>0</v>
      </c>
      <c r="E56" s="8" t="s">
        <v>140</v>
      </c>
    </row>
    <row r="57" customFormat="false" ht="30" hidden="false" customHeight="true" outlineLevel="0" collapsed="false">
      <c r="A57" s="5" t="n">
        <v>40</v>
      </c>
      <c r="B57" s="8" t="s">
        <v>86</v>
      </c>
      <c r="C57" s="5" t="s">
        <v>131</v>
      </c>
      <c r="D57" s="5" t="n">
        <f aca="false">_xlfn.IFS(C57="Yes",1,C57="Partial",0.5,C57="N/A","N/A",C57="No",0)</f>
        <v>0.5</v>
      </c>
      <c r="E57" s="8" t="s">
        <v>132</v>
      </c>
    </row>
    <row r="58" customFormat="false" ht="30" hidden="false" customHeight="true" outlineLevel="0" collapsed="false">
      <c r="A58" s="5" t="n">
        <v>41</v>
      </c>
      <c r="B58" s="8" t="s">
        <v>87</v>
      </c>
      <c r="C58" s="5" t="s">
        <v>38</v>
      </c>
      <c r="D58" s="5" t="n">
        <f aca="false">_xlfn.IFS(C58="Yes",1,C58="Partial",0.5,C58="N/A","N/A",C58="No",0)</f>
        <v>1</v>
      </c>
      <c r="E58" s="8" t="s">
        <v>39</v>
      </c>
    </row>
    <row r="59" customFormat="false" ht="30" hidden="false" customHeight="true" outlineLevel="0" collapsed="false">
      <c r="A59" s="5" t="n">
        <v>42</v>
      </c>
      <c r="B59" s="8" t="s">
        <v>88</v>
      </c>
      <c r="C59" s="5" t="s">
        <v>131</v>
      </c>
      <c r="D59" s="5" t="n">
        <f aca="false">_xlfn.IFS(C59="Yes",1,C59="Partial",0.5,C59="N/A","N/A",C59="No",0)</f>
        <v>0.5</v>
      </c>
      <c r="E59" s="8" t="s">
        <v>132</v>
      </c>
    </row>
    <row r="60" customFormat="false" ht="30" hidden="false" customHeight="true" outlineLevel="0" collapsed="false">
      <c r="A60" s="5" t="n">
        <v>43</v>
      </c>
      <c r="B60" s="8" t="s">
        <v>89</v>
      </c>
      <c r="C60" s="5" t="s">
        <v>139</v>
      </c>
      <c r="D60" s="5" t="n">
        <f aca="false">_xlfn.IFS(C60="Yes",1,C60="Partial",0.5,C60="N/A","N/A",C60="No",0)</f>
        <v>0</v>
      </c>
      <c r="E60" s="8" t="s">
        <v>140</v>
      </c>
    </row>
    <row r="61" customFormat="false" ht="30" hidden="false" customHeight="true" outlineLevel="0" collapsed="false">
      <c r="A61" s="5" t="n">
        <v>44</v>
      </c>
      <c r="B61" s="8" t="s">
        <v>90</v>
      </c>
      <c r="C61" s="5" t="s">
        <v>139</v>
      </c>
      <c r="D61" s="5" t="n">
        <f aca="false">_xlfn.IFS(C61="Yes",1,C61="Partial",0.5,C61="N/A","N/A",C61="No",0)</f>
        <v>0</v>
      </c>
      <c r="E61" s="8" t="s">
        <v>140</v>
      </c>
    </row>
    <row r="62" customFormat="false" ht="30" hidden="false" customHeight="true" outlineLevel="0" collapsed="false">
      <c r="A62" s="5" t="n">
        <v>45</v>
      </c>
      <c r="B62" s="8" t="s">
        <v>91</v>
      </c>
      <c r="C62" s="5" t="s">
        <v>139</v>
      </c>
      <c r="D62" s="5" t="n">
        <f aca="false">_xlfn.IFS(C62="Yes",1,C62="Partial",0.5,C62="N/A","N/A",C62="No",0)</f>
        <v>0</v>
      </c>
      <c r="E62" s="8" t="s">
        <v>140</v>
      </c>
    </row>
    <row r="63" customFormat="false" ht="15" hidden="false" customHeight="true" outlineLevel="0" collapsed="false">
      <c r="A63" s="9"/>
      <c r="B63" s="10" t="s">
        <v>92</v>
      </c>
      <c r="C63" s="10"/>
      <c r="D63" s="11" t="n">
        <f aca="false">IFERROR(AVERAGEIF(D54:D62,"&lt;&gt;N/A",D54:D62),0)</f>
        <v>0.333333333333333</v>
      </c>
      <c r="E63" s="9"/>
    </row>
    <row r="65" customFormat="false" ht="15" hidden="false" customHeight="true" outlineLevel="0" collapsed="false">
      <c r="A65" s="7" t="s">
        <v>93</v>
      </c>
      <c r="B65" s="7"/>
      <c r="C65" s="7"/>
      <c r="D65" s="7"/>
      <c r="E65" s="7"/>
    </row>
    <row r="66" customFormat="false" ht="30" hidden="false" customHeight="true" outlineLevel="0" collapsed="false">
      <c r="A66" s="5" t="n">
        <v>46</v>
      </c>
      <c r="B66" s="8" t="s">
        <v>94</v>
      </c>
      <c r="C66" s="5" t="s">
        <v>131</v>
      </c>
      <c r="D66" s="5" t="n">
        <f aca="false">_xlfn.IFS(C66="Yes",1,C66="Partial",0.5,C66="N/A","N/A",C66="No",0)</f>
        <v>0.5</v>
      </c>
      <c r="E66" s="8" t="s">
        <v>132</v>
      </c>
    </row>
    <row r="67" customFormat="false" ht="30" hidden="false" customHeight="true" outlineLevel="0" collapsed="false">
      <c r="A67" s="5" t="n">
        <v>47</v>
      </c>
      <c r="B67" s="8" t="s">
        <v>95</v>
      </c>
      <c r="C67" s="5" t="s">
        <v>139</v>
      </c>
      <c r="D67" s="5" t="n">
        <f aca="false">_xlfn.IFS(C67="Yes",1,C67="Partial",0.5,C67="N/A","N/A",C67="No",0)</f>
        <v>0</v>
      </c>
      <c r="E67" s="8" t="s">
        <v>140</v>
      </c>
    </row>
    <row r="68" customFormat="false" ht="30" hidden="false" customHeight="true" outlineLevel="0" collapsed="false">
      <c r="A68" s="5" t="n">
        <v>48</v>
      </c>
      <c r="B68" s="8" t="s">
        <v>96</v>
      </c>
      <c r="C68" s="5" t="s">
        <v>131</v>
      </c>
      <c r="D68" s="5" t="n">
        <f aca="false">_xlfn.IFS(C68="Yes",1,C68="Partial",0.5,C68="N/A","N/A",C68="No",0)</f>
        <v>0.5</v>
      </c>
      <c r="E68" s="8" t="s">
        <v>132</v>
      </c>
    </row>
    <row r="69" customFormat="false" ht="30" hidden="false" customHeight="true" outlineLevel="0" collapsed="false">
      <c r="A69" s="5" t="n">
        <v>49</v>
      </c>
      <c r="B69" s="8" t="s">
        <v>97</v>
      </c>
      <c r="C69" s="5" t="s">
        <v>131</v>
      </c>
      <c r="D69" s="5" t="n">
        <f aca="false">_xlfn.IFS(C69="Yes",1,C69="Partial",0.5,C69="N/A","N/A",C69="No",0)</f>
        <v>0.5</v>
      </c>
      <c r="E69" s="8" t="s">
        <v>132</v>
      </c>
    </row>
    <row r="70" customFormat="false" ht="30" hidden="false" customHeight="true" outlineLevel="0" collapsed="false">
      <c r="A70" s="5" t="n">
        <v>50</v>
      </c>
      <c r="B70" s="8" t="s">
        <v>98</v>
      </c>
      <c r="C70" s="5" t="s">
        <v>139</v>
      </c>
      <c r="D70" s="5" t="n">
        <f aca="false">_xlfn.IFS(C70="Yes",1,C70="Partial",0.5,C70="N/A","N/A",C70="No",0)</f>
        <v>0</v>
      </c>
      <c r="E70" s="8" t="s">
        <v>140</v>
      </c>
    </row>
    <row r="71" customFormat="false" ht="30" hidden="false" customHeight="true" outlineLevel="0" collapsed="false">
      <c r="A71" s="5" t="n">
        <v>51</v>
      </c>
      <c r="B71" s="8" t="s">
        <v>99</v>
      </c>
      <c r="C71" s="5" t="s">
        <v>139</v>
      </c>
      <c r="D71" s="5" t="n">
        <f aca="false">_xlfn.IFS(C71="Yes",1,C71="Partial",0.5,C71="N/A","N/A",C71="No",0)</f>
        <v>0</v>
      </c>
      <c r="E71" s="8" t="s">
        <v>140</v>
      </c>
    </row>
    <row r="72" customFormat="false" ht="30" hidden="false" customHeight="true" outlineLevel="0" collapsed="false">
      <c r="A72" s="5" t="n">
        <v>52</v>
      </c>
      <c r="B72" s="8" t="s">
        <v>100</v>
      </c>
      <c r="C72" s="5" t="s">
        <v>131</v>
      </c>
      <c r="D72" s="5" t="n">
        <f aca="false">_xlfn.IFS(C72="Yes",1,C72="Partial",0.5,C72="N/A","N/A",C72="No",0)</f>
        <v>0.5</v>
      </c>
      <c r="E72" s="8" t="s">
        <v>132</v>
      </c>
    </row>
    <row r="73" customFormat="false" ht="30" hidden="false" customHeight="true" outlineLevel="0" collapsed="false">
      <c r="A73" s="5" t="n">
        <v>53</v>
      </c>
      <c r="B73" s="8" t="s">
        <v>101</v>
      </c>
      <c r="C73" s="5" t="s">
        <v>131</v>
      </c>
      <c r="D73" s="5" t="n">
        <f aca="false">_xlfn.IFS(C73="Yes",1,C73="Partial",0.5,C73="N/A","N/A",C73="No",0)</f>
        <v>0.5</v>
      </c>
      <c r="E73" s="8" t="s">
        <v>132</v>
      </c>
    </row>
    <row r="74" customFormat="false" ht="30" hidden="false" customHeight="true" outlineLevel="0" collapsed="false">
      <c r="A74" s="5" t="n">
        <v>54</v>
      </c>
      <c r="B74" s="8" t="s">
        <v>102</v>
      </c>
      <c r="C74" s="5" t="s">
        <v>131</v>
      </c>
      <c r="D74" s="5" t="n">
        <f aca="false">_xlfn.IFS(C74="Yes",1,C74="Partial",0.5,C74="N/A","N/A",C74="No",0)</f>
        <v>0.5</v>
      </c>
      <c r="E74" s="8" t="s">
        <v>132</v>
      </c>
    </row>
    <row r="75" customFormat="false" ht="15" hidden="false" customHeight="true" outlineLevel="0" collapsed="false">
      <c r="A75" s="9"/>
      <c r="B75" s="10" t="s">
        <v>103</v>
      </c>
      <c r="C75" s="10"/>
      <c r="D75" s="11" t="n">
        <f aca="false">IFERROR(AVERAGEIF(D66:D74,"&lt;&gt;N/A",D66:D74),0)</f>
        <v>0.333333333333333</v>
      </c>
      <c r="E75" s="9"/>
    </row>
    <row r="77" customFormat="false" ht="15" hidden="false" customHeight="true" outlineLevel="0" collapsed="false">
      <c r="A77" s="7" t="s">
        <v>104</v>
      </c>
      <c r="B77" s="7"/>
      <c r="C77" s="7"/>
      <c r="D77" s="7"/>
      <c r="E77" s="7"/>
    </row>
    <row r="78" customFormat="false" ht="30" hidden="false" customHeight="true" outlineLevel="0" collapsed="false">
      <c r="A78" s="5" t="n">
        <v>55</v>
      </c>
      <c r="B78" s="8" t="s">
        <v>105</v>
      </c>
      <c r="C78" s="5" t="s">
        <v>139</v>
      </c>
      <c r="D78" s="5" t="n">
        <f aca="false">_xlfn.IFS(C78="Yes",1,C78="Partial",0.5,C78="N/A","N/A",C78="No",0)</f>
        <v>0</v>
      </c>
      <c r="E78" s="8" t="s">
        <v>140</v>
      </c>
    </row>
    <row r="79" customFormat="false" ht="30" hidden="false" customHeight="true" outlineLevel="0" collapsed="false">
      <c r="A79" s="5" t="n">
        <v>56</v>
      </c>
      <c r="B79" s="8" t="s">
        <v>106</v>
      </c>
      <c r="C79" s="5" t="s">
        <v>139</v>
      </c>
      <c r="D79" s="5" t="n">
        <f aca="false">_xlfn.IFS(C79="Yes",1,C79="Partial",0.5,C79="N/A","N/A",C79="No",0)</f>
        <v>0</v>
      </c>
      <c r="E79" s="8" t="s">
        <v>140</v>
      </c>
    </row>
    <row r="80" customFormat="false" ht="30" hidden="false" customHeight="true" outlineLevel="0" collapsed="false">
      <c r="A80" s="5" t="n">
        <v>57</v>
      </c>
      <c r="B80" s="8" t="s">
        <v>107</v>
      </c>
      <c r="C80" s="5" t="s">
        <v>108</v>
      </c>
      <c r="D80" s="5" t="str">
        <f aca="false">_xlfn.IFS(C80="Yes",1,C80="Partial",0.5,C80="N/A","N/A",C80="No",0)</f>
        <v>N/A</v>
      </c>
      <c r="E80" s="8" t="s">
        <v>109</v>
      </c>
    </row>
    <row r="81" customFormat="false" ht="30" hidden="false" customHeight="true" outlineLevel="0" collapsed="false">
      <c r="A81" s="5" t="n">
        <v>58</v>
      </c>
      <c r="B81" s="8" t="s">
        <v>110</v>
      </c>
      <c r="C81" s="5" t="s">
        <v>131</v>
      </c>
      <c r="D81" s="5" t="n">
        <f aca="false">_xlfn.IFS(C81="Yes",1,C81="Partial",0.5,C81="N/A","N/A",C81="No",0)</f>
        <v>0.5</v>
      </c>
      <c r="E81" s="8" t="s">
        <v>132</v>
      </c>
    </row>
    <row r="82" customFormat="false" ht="30" hidden="false" customHeight="true" outlineLevel="0" collapsed="false">
      <c r="A82" s="5" t="n">
        <v>59</v>
      </c>
      <c r="B82" s="8" t="s">
        <v>111</v>
      </c>
      <c r="C82" s="5" t="s">
        <v>131</v>
      </c>
      <c r="D82" s="5" t="n">
        <f aca="false">_xlfn.IFS(C82="Yes",1,C82="Partial",0.5,C82="N/A","N/A",C82="No",0)</f>
        <v>0.5</v>
      </c>
      <c r="E82" s="8" t="s">
        <v>132</v>
      </c>
    </row>
    <row r="83" customFormat="false" ht="30" hidden="false" customHeight="true" outlineLevel="0" collapsed="false">
      <c r="A83" s="5" t="n">
        <v>60</v>
      </c>
      <c r="B83" s="8" t="s">
        <v>112</v>
      </c>
      <c r="C83" s="5" t="s">
        <v>139</v>
      </c>
      <c r="D83" s="5" t="n">
        <f aca="false">_xlfn.IFS(C83="Yes",1,C83="Partial",0.5,C83="N/A","N/A",C83="No",0)</f>
        <v>0</v>
      </c>
      <c r="E83" s="8" t="s">
        <v>140</v>
      </c>
    </row>
    <row r="84" customFormat="false" ht="30" hidden="false" customHeight="true" outlineLevel="0" collapsed="false">
      <c r="A84" s="5" t="n">
        <v>61</v>
      </c>
      <c r="B84" s="8" t="s">
        <v>113</v>
      </c>
      <c r="C84" s="5" t="s">
        <v>131</v>
      </c>
      <c r="D84" s="5" t="n">
        <f aca="false">_xlfn.IFS(C84="Yes",1,C84="Partial",0.5,C84="N/A","N/A",C84="No",0)</f>
        <v>0.5</v>
      </c>
      <c r="E84" s="8" t="s">
        <v>132</v>
      </c>
    </row>
    <row r="85" customFormat="false" ht="30" hidden="false" customHeight="true" outlineLevel="0" collapsed="false">
      <c r="A85" s="5" t="n">
        <v>62</v>
      </c>
      <c r="B85" s="8" t="s">
        <v>114</v>
      </c>
      <c r="C85" s="5" t="s">
        <v>139</v>
      </c>
      <c r="D85" s="5" t="n">
        <f aca="false">_xlfn.IFS(C85="Yes",1,C85="Partial",0.5,C85="N/A","N/A",C85="No",0)</f>
        <v>0</v>
      </c>
      <c r="E85" s="8" t="s">
        <v>140</v>
      </c>
    </row>
    <row r="86" customFormat="false" ht="30" hidden="false" customHeight="true" outlineLevel="0" collapsed="false">
      <c r="A86" s="5" t="n">
        <v>63</v>
      </c>
      <c r="B86" s="8" t="s">
        <v>115</v>
      </c>
      <c r="C86" s="5" t="s">
        <v>139</v>
      </c>
      <c r="D86" s="5" t="n">
        <f aca="false">_xlfn.IFS(C86="Yes",1,C86="Partial",0.5,C86="N/A","N/A",C86="No",0)</f>
        <v>0</v>
      </c>
      <c r="E86" s="8" t="s">
        <v>140</v>
      </c>
    </row>
    <row r="87" customFormat="false" ht="15" hidden="false" customHeight="true" outlineLevel="0" collapsed="false">
      <c r="A87" s="9"/>
      <c r="B87" s="10" t="s">
        <v>116</v>
      </c>
      <c r="C87" s="10"/>
      <c r="D87" s="11" t="n">
        <f aca="false">IFERROR(AVERAGEIF(D78:D86,"&lt;&gt;N/A",D78:D86),0)</f>
        <v>0.1875</v>
      </c>
      <c r="E87" s="9"/>
    </row>
    <row r="89" customFormat="false" ht="15" hidden="false" customHeight="true" outlineLevel="0" collapsed="false">
      <c r="A89" s="7" t="s">
        <v>117</v>
      </c>
      <c r="B89" s="7"/>
      <c r="C89" s="7"/>
      <c r="D89" s="7"/>
      <c r="E89" s="7"/>
    </row>
    <row r="90" customFormat="false" ht="30" hidden="false" customHeight="true" outlineLevel="0" collapsed="false">
      <c r="A90" s="5" t="n">
        <v>64</v>
      </c>
      <c r="B90" s="8" t="s">
        <v>118</v>
      </c>
      <c r="C90" s="5" t="s">
        <v>139</v>
      </c>
      <c r="D90" s="5" t="n">
        <f aca="false">_xlfn.IFS(C90="Yes",1,C90="Partial",0.5,C90="N/A","N/A",C90="No",0)</f>
        <v>0</v>
      </c>
      <c r="E90" s="8" t="s">
        <v>140</v>
      </c>
    </row>
    <row r="91" customFormat="false" ht="30" hidden="false" customHeight="true" outlineLevel="0" collapsed="false">
      <c r="A91" s="5" t="n">
        <v>65</v>
      </c>
      <c r="B91" s="8" t="s">
        <v>119</v>
      </c>
      <c r="C91" s="5" t="s">
        <v>139</v>
      </c>
      <c r="D91" s="5" t="n">
        <f aca="false">_xlfn.IFS(C91="Yes",1,C91="Partial",0.5,C91="N/A","N/A",C91="No",0)</f>
        <v>0</v>
      </c>
      <c r="E91" s="8" t="s">
        <v>140</v>
      </c>
    </row>
    <row r="92" customFormat="false" ht="30" hidden="false" customHeight="true" outlineLevel="0" collapsed="false">
      <c r="A92" s="5" t="n">
        <v>66</v>
      </c>
      <c r="B92" s="8" t="s">
        <v>120</v>
      </c>
      <c r="C92" s="5" t="s">
        <v>139</v>
      </c>
      <c r="D92" s="5" t="n">
        <f aca="false">_xlfn.IFS(C92="Yes",1,C92="Partial",0.5,C92="N/A","N/A",C92="No",0)</f>
        <v>0</v>
      </c>
      <c r="E92" s="8" t="s">
        <v>140</v>
      </c>
    </row>
    <row r="93" customFormat="false" ht="30" hidden="false" customHeight="true" outlineLevel="0" collapsed="false">
      <c r="A93" s="5" t="n">
        <v>67</v>
      </c>
      <c r="B93" s="8" t="s">
        <v>121</v>
      </c>
      <c r="C93" s="5" t="s">
        <v>139</v>
      </c>
      <c r="D93" s="5" t="n">
        <f aca="false">_xlfn.IFS(C93="Yes",1,C93="Partial",0.5,C93="N/A","N/A",C93="No",0)</f>
        <v>0</v>
      </c>
      <c r="E93" s="8" t="s">
        <v>140</v>
      </c>
    </row>
    <row r="94" customFormat="false" ht="30" hidden="false" customHeight="true" outlineLevel="0" collapsed="false">
      <c r="A94" s="5" t="n">
        <v>68</v>
      </c>
      <c r="B94" s="8" t="s">
        <v>122</v>
      </c>
      <c r="C94" s="5" t="s">
        <v>131</v>
      </c>
      <c r="D94" s="5" t="n">
        <f aca="false">_xlfn.IFS(C94="Yes",1,C94="Partial",0.5,C94="N/A","N/A",C94="No",0)</f>
        <v>0.5</v>
      </c>
      <c r="E94" s="8" t="s">
        <v>132</v>
      </c>
    </row>
    <row r="95" customFormat="false" ht="30" hidden="false" customHeight="true" outlineLevel="0" collapsed="false">
      <c r="A95" s="5" t="n">
        <v>69</v>
      </c>
      <c r="B95" s="8" t="s">
        <v>123</v>
      </c>
      <c r="C95" s="5" t="s">
        <v>139</v>
      </c>
      <c r="D95" s="5" t="n">
        <f aca="false">_xlfn.IFS(C95="Yes",1,C95="Partial",0.5,C95="N/A","N/A",C95="No",0)</f>
        <v>0</v>
      </c>
      <c r="E95" s="8" t="s">
        <v>140</v>
      </c>
    </row>
    <row r="96" customFormat="false" ht="30" hidden="false" customHeight="true" outlineLevel="0" collapsed="false">
      <c r="A96" s="5" t="n">
        <v>70</v>
      </c>
      <c r="B96" s="8" t="s">
        <v>124</v>
      </c>
      <c r="C96" s="5" t="s">
        <v>139</v>
      </c>
      <c r="D96" s="5" t="n">
        <f aca="false">_xlfn.IFS(C96="Yes",1,C96="Partial",0.5,C96="N/A","N/A",C96="No",0)</f>
        <v>0</v>
      </c>
      <c r="E96" s="8" t="s">
        <v>140</v>
      </c>
    </row>
    <row r="97" customFormat="false" ht="30" hidden="false" customHeight="true" outlineLevel="0" collapsed="false">
      <c r="A97" s="5" t="n">
        <v>71</v>
      </c>
      <c r="B97" s="8" t="s">
        <v>125</v>
      </c>
      <c r="C97" s="5" t="s">
        <v>139</v>
      </c>
      <c r="D97" s="5" t="n">
        <f aca="false">_xlfn.IFS(C97="Yes",1,C97="Partial",0.5,C97="N/A","N/A",C97="No",0)</f>
        <v>0</v>
      </c>
      <c r="E97" s="8" t="s">
        <v>140</v>
      </c>
    </row>
    <row r="98" customFormat="false" ht="15" hidden="false" customHeight="true" outlineLevel="0" collapsed="false">
      <c r="A98" s="9"/>
      <c r="B98" s="10" t="s">
        <v>126</v>
      </c>
      <c r="C98" s="10"/>
      <c r="D98" s="11" t="n">
        <f aca="false">IFERROR(AVERAGEIF(D90:D97,"&lt;&gt;N/A",D90:D97),0)</f>
        <v>0.0625</v>
      </c>
      <c r="E98" s="9"/>
    </row>
    <row r="100" customFormat="false" ht="15" hidden="false" customHeight="true" outlineLevel="0" collapsed="false">
      <c r="A100" s="12" t="s">
        <v>127</v>
      </c>
      <c r="B100" s="12"/>
      <c r="C100" s="12"/>
      <c r="D100" s="13" t="n">
        <f aca="false">AVERAGE(D15,D27,D39,D51,D63,D75,D87,D98)</f>
        <v>0.302083333333333</v>
      </c>
      <c r="E100" s="14"/>
    </row>
    <row r="101" customFormat="false" ht="23.25" hidden="false" customHeight="true" outlineLevel="0" collapsed="false">
      <c r="A101" s="12" t="s">
        <v>128</v>
      </c>
      <c r="B101" s="12"/>
      <c r="C101" s="12"/>
      <c r="D101" s="15" t="str">
        <f aca="false">_xlfn.IFS(D100&gt;=0.85,"Low Risk",D100&gt;=0.65,"Medium Risk",D100&gt;=0.45,"High Risk",D100&lt;0.45,"Critical Risk")</f>
        <v>Critical Risk</v>
      </c>
      <c r="E101" s="14"/>
    </row>
  </sheetData>
  <mergeCells count="18">
    <mergeCell ref="A5:E5"/>
    <mergeCell ref="B15:C15"/>
    <mergeCell ref="A17:E17"/>
    <mergeCell ref="B27:C27"/>
    <mergeCell ref="A29:E29"/>
    <mergeCell ref="B39:C39"/>
    <mergeCell ref="A41:E41"/>
    <mergeCell ref="B51:C51"/>
    <mergeCell ref="A53:E53"/>
    <mergeCell ref="B63:C63"/>
    <mergeCell ref="A65:E65"/>
    <mergeCell ref="B75:C75"/>
    <mergeCell ref="A77:E77"/>
    <mergeCell ref="B87:C87"/>
    <mergeCell ref="A89:E89"/>
    <mergeCell ref="B98:C98"/>
    <mergeCell ref="A100:C100"/>
    <mergeCell ref="A101:C101"/>
  </mergeCells>
  <conditionalFormatting sqref="C5:C98">
    <cfRule type="cellIs" priority="2" operator="equal" aboveAverage="0" equalAverage="0" bottom="0" percent="0" rank="0" text="" dxfId="3">
      <formula>"Yes"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1">
      <formula>"No"</formula>
    </cfRule>
  </conditionalFormatting>
  <conditionalFormatting sqref="D101">
    <cfRule type="cellIs" priority="5" operator="equal" aboveAverage="0" equalAverage="0" bottom="0" percent="0" rank="0" text="" dxfId="0">
      <formula>"Critical Risk"</formula>
    </cfRule>
    <cfRule type="cellIs" priority="6" operator="equal" aboveAverage="0" equalAverage="0" bottom="0" percent="0" rank="0" text="" dxfId="1">
      <formula>"High Risk"</formula>
    </cfRule>
    <cfRule type="cellIs" priority="7" operator="equal" aboveAverage="0" equalAverage="0" bottom="0" percent="0" rank="0" text="" dxfId="2">
      <formula>"Medium Risk"</formula>
    </cfRule>
    <cfRule type="cellIs" priority="8" operator="equal" aboveAverage="0" equalAverage="0" bottom="0" percent="0" rank="0" text="" dxfId="3">
      <formula>"Low Risk"</formula>
    </cfRule>
  </conditionalFormatting>
  <dataValidations count="1">
    <dataValidation allowBlank="false" errorStyle="stop" operator="between" showDropDown="false" showErrorMessage="false" showInputMessage="false" sqref="C5:C98" type="list">
      <formula1>"Yes,Partial,No,N/A"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2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38"/>
  </cols>
  <sheetData>
    <row r="1" customFormat="false" ht="17.25" hidden="false" customHeight="true" outlineLevel="0" collapsed="false">
      <c r="A1" s="2" t="s">
        <v>141</v>
      </c>
    </row>
    <row r="2" customFormat="false" ht="15" hidden="false" customHeight="true" outlineLevel="0" collapsed="false">
      <c r="A2" s="3" t="s">
        <v>138</v>
      </c>
    </row>
    <row r="4" customFormat="false" ht="15" hidden="false" customHeight="true" outlineLevel="0" collapsed="false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</row>
    <row r="5" customFormat="false" ht="15" hidden="false" customHeight="true" outlineLevel="0" collapsed="false">
      <c r="A5" s="7" t="s">
        <v>36</v>
      </c>
      <c r="B5" s="7"/>
      <c r="C5" s="7"/>
      <c r="D5" s="7"/>
      <c r="E5" s="7"/>
    </row>
    <row r="6" customFormat="false" ht="30" hidden="false" customHeight="true" outlineLevel="0" collapsed="false">
      <c r="A6" s="5" t="n">
        <v>1</v>
      </c>
      <c r="B6" s="8" t="s">
        <v>37</v>
      </c>
      <c r="C6" s="5" t="s">
        <v>131</v>
      </c>
      <c r="D6" s="5" t="n">
        <f aca="false">_xlfn.IFS(C6="Yes",1,C6="Partial",0.5,C6="N/A","N/A",C6="No",0)</f>
        <v>0.5</v>
      </c>
      <c r="E6" s="8" t="s">
        <v>132</v>
      </c>
    </row>
    <row r="7" customFormat="false" ht="30" hidden="false" customHeight="true" outlineLevel="0" collapsed="false">
      <c r="A7" s="5" t="n">
        <v>2</v>
      </c>
      <c r="B7" s="8" t="s">
        <v>40</v>
      </c>
      <c r="C7" s="5" t="s">
        <v>139</v>
      </c>
      <c r="D7" s="5" t="n">
        <f aca="false">_xlfn.IFS(C7="Yes",1,C7="Partial",0.5,C7="N/A","N/A",C7="No",0)</f>
        <v>0</v>
      </c>
      <c r="E7" s="8" t="s">
        <v>140</v>
      </c>
    </row>
    <row r="8" customFormat="false" ht="30" hidden="false" customHeight="true" outlineLevel="0" collapsed="false">
      <c r="A8" s="5" t="n">
        <v>3</v>
      </c>
      <c r="B8" s="8" t="s">
        <v>41</v>
      </c>
      <c r="C8" s="5" t="s">
        <v>131</v>
      </c>
      <c r="D8" s="5" t="n">
        <f aca="false">_xlfn.IFS(C8="Yes",1,C8="Partial",0.5,C8="N/A","N/A",C8="No",0)</f>
        <v>0.5</v>
      </c>
      <c r="E8" s="8" t="s">
        <v>132</v>
      </c>
    </row>
    <row r="9" customFormat="false" ht="30" hidden="false" customHeight="true" outlineLevel="0" collapsed="false">
      <c r="A9" s="5" t="n">
        <v>4</v>
      </c>
      <c r="B9" s="8" t="s">
        <v>42</v>
      </c>
      <c r="C9" s="5" t="s">
        <v>139</v>
      </c>
      <c r="D9" s="5" t="n">
        <f aca="false">_xlfn.IFS(C9="Yes",1,C9="Partial",0.5,C9="N/A","N/A",C9="No",0)</f>
        <v>0</v>
      </c>
      <c r="E9" s="8" t="s">
        <v>140</v>
      </c>
    </row>
    <row r="10" customFormat="false" ht="30" hidden="false" customHeight="true" outlineLevel="0" collapsed="false">
      <c r="A10" s="5" t="n">
        <v>5</v>
      </c>
      <c r="B10" s="8" t="s">
        <v>43</v>
      </c>
      <c r="C10" s="5" t="s">
        <v>131</v>
      </c>
      <c r="D10" s="5" t="n">
        <f aca="false">_xlfn.IFS(C10="Yes",1,C10="Partial",0.5,C10="N/A","N/A",C10="No",0)</f>
        <v>0.5</v>
      </c>
      <c r="E10" s="8" t="s">
        <v>132</v>
      </c>
    </row>
    <row r="11" customFormat="false" ht="30" hidden="false" customHeight="true" outlineLevel="0" collapsed="false">
      <c r="A11" s="5" t="n">
        <v>6</v>
      </c>
      <c r="B11" s="8" t="s">
        <v>44</v>
      </c>
      <c r="C11" s="5" t="s">
        <v>139</v>
      </c>
      <c r="D11" s="5" t="n">
        <f aca="false">_xlfn.IFS(C11="Yes",1,C11="Partial",0.5,C11="N/A","N/A",C11="No",0)</f>
        <v>0</v>
      </c>
      <c r="E11" s="8" t="s">
        <v>140</v>
      </c>
    </row>
    <row r="12" customFormat="false" ht="30" hidden="false" customHeight="true" outlineLevel="0" collapsed="false">
      <c r="A12" s="5" t="n">
        <v>7</v>
      </c>
      <c r="B12" s="8" t="s">
        <v>45</v>
      </c>
      <c r="C12" s="5" t="s">
        <v>139</v>
      </c>
      <c r="D12" s="5" t="n">
        <f aca="false">_xlfn.IFS(C12="Yes",1,C12="Partial",0.5,C12="N/A","N/A",C12="No",0)</f>
        <v>0</v>
      </c>
      <c r="E12" s="8" t="s">
        <v>140</v>
      </c>
    </row>
    <row r="13" customFormat="false" ht="30" hidden="false" customHeight="true" outlineLevel="0" collapsed="false">
      <c r="A13" s="5" t="n">
        <v>8</v>
      </c>
      <c r="B13" s="8" t="s">
        <v>46</v>
      </c>
      <c r="C13" s="5" t="s">
        <v>38</v>
      </c>
      <c r="D13" s="5" t="n">
        <f aca="false">_xlfn.IFS(C13="Yes",1,C13="Partial",0.5,C13="N/A","N/A",C13="No",0)</f>
        <v>1</v>
      </c>
      <c r="E13" s="8" t="s">
        <v>39</v>
      </c>
    </row>
    <row r="14" customFormat="false" ht="30" hidden="false" customHeight="true" outlineLevel="0" collapsed="false">
      <c r="A14" s="5" t="n">
        <v>9</v>
      </c>
      <c r="B14" s="8" t="s">
        <v>47</v>
      </c>
      <c r="C14" s="5" t="s">
        <v>131</v>
      </c>
      <c r="D14" s="5" t="n">
        <f aca="false">_xlfn.IFS(C14="Yes",1,C14="Partial",0.5,C14="N/A","N/A",C14="No",0)</f>
        <v>0.5</v>
      </c>
      <c r="E14" s="8" t="s">
        <v>132</v>
      </c>
    </row>
    <row r="15" customFormat="false" ht="15" hidden="false" customHeight="true" outlineLevel="0" collapsed="false">
      <c r="A15" s="9"/>
      <c r="B15" s="10" t="s">
        <v>48</v>
      </c>
      <c r="C15" s="10"/>
      <c r="D15" s="11" t="n">
        <f aca="false">IFERROR(AVERAGEIF(D6:D14,"&lt;&gt;N/A",D6:D14),0)</f>
        <v>0.333333333333333</v>
      </c>
      <c r="E15" s="9"/>
    </row>
    <row r="17" customFormat="false" ht="15" hidden="false" customHeight="true" outlineLevel="0" collapsed="false">
      <c r="A17" s="7" t="s">
        <v>49</v>
      </c>
      <c r="B17" s="7"/>
      <c r="C17" s="7"/>
      <c r="D17" s="7"/>
      <c r="E17" s="7"/>
    </row>
    <row r="18" customFormat="false" ht="30" hidden="false" customHeight="true" outlineLevel="0" collapsed="false">
      <c r="A18" s="5" t="n">
        <v>10</v>
      </c>
      <c r="B18" s="8" t="s">
        <v>50</v>
      </c>
      <c r="C18" s="5" t="s">
        <v>131</v>
      </c>
      <c r="D18" s="5" t="n">
        <f aca="false">_xlfn.IFS(C18="Yes",1,C18="Partial",0.5,C18="N/A","N/A",C18="No",0)</f>
        <v>0.5</v>
      </c>
      <c r="E18" s="8" t="s">
        <v>132</v>
      </c>
    </row>
    <row r="19" customFormat="false" ht="30" hidden="false" customHeight="true" outlineLevel="0" collapsed="false">
      <c r="A19" s="5" t="n">
        <v>11</v>
      </c>
      <c r="B19" s="8" t="s">
        <v>51</v>
      </c>
      <c r="C19" s="5" t="s">
        <v>38</v>
      </c>
      <c r="D19" s="5" t="n">
        <f aca="false">_xlfn.IFS(C19="Yes",1,C19="Partial",0.5,C19="N/A","N/A",C19="No",0)</f>
        <v>1</v>
      </c>
      <c r="E19" s="8" t="s">
        <v>39</v>
      </c>
    </row>
    <row r="20" customFormat="false" ht="30" hidden="false" customHeight="true" outlineLevel="0" collapsed="false">
      <c r="A20" s="5" t="n">
        <v>12</v>
      </c>
      <c r="B20" s="8" t="s">
        <v>52</v>
      </c>
      <c r="C20" s="5" t="s">
        <v>38</v>
      </c>
      <c r="D20" s="5" t="n">
        <f aca="false">_xlfn.IFS(C20="Yes",1,C20="Partial",0.5,C20="N/A","N/A",C20="No",0)</f>
        <v>1</v>
      </c>
      <c r="E20" s="8" t="s">
        <v>39</v>
      </c>
    </row>
    <row r="21" customFormat="false" ht="30" hidden="false" customHeight="true" outlineLevel="0" collapsed="false">
      <c r="A21" s="5" t="n">
        <v>13</v>
      </c>
      <c r="B21" s="8" t="s">
        <v>53</v>
      </c>
      <c r="C21" s="5" t="s">
        <v>139</v>
      </c>
      <c r="D21" s="5" t="n">
        <f aca="false">_xlfn.IFS(C21="Yes",1,C21="Partial",0.5,C21="N/A","N/A",C21="No",0)</f>
        <v>0</v>
      </c>
      <c r="E21" s="8" t="s">
        <v>140</v>
      </c>
    </row>
    <row r="22" customFormat="false" ht="30" hidden="false" customHeight="true" outlineLevel="0" collapsed="false">
      <c r="A22" s="5" t="n">
        <v>14</v>
      </c>
      <c r="B22" s="8" t="s">
        <v>54</v>
      </c>
      <c r="C22" s="5" t="s">
        <v>131</v>
      </c>
      <c r="D22" s="5" t="n">
        <f aca="false">_xlfn.IFS(C22="Yes",1,C22="Partial",0.5,C22="N/A","N/A",C22="No",0)</f>
        <v>0.5</v>
      </c>
      <c r="E22" s="8" t="s">
        <v>132</v>
      </c>
    </row>
    <row r="23" customFormat="false" ht="30" hidden="false" customHeight="true" outlineLevel="0" collapsed="false">
      <c r="A23" s="5" t="n">
        <v>15</v>
      </c>
      <c r="B23" s="8" t="s">
        <v>55</v>
      </c>
      <c r="C23" s="5" t="s">
        <v>139</v>
      </c>
      <c r="D23" s="5" t="n">
        <f aca="false">_xlfn.IFS(C23="Yes",1,C23="Partial",0.5,C23="N/A","N/A",C23="No",0)</f>
        <v>0</v>
      </c>
      <c r="E23" s="8" t="s">
        <v>140</v>
      </c>
    </row>
    <row r="24" customFormat="false" ht="30" hidden="false" customHeight="true" outlineLevel="0" collapsed="false">
      <c r="A24" s="5" t="n">
        <v>16</v>
      </c>
      <c r="B24" s="8" t="s">
        <v>56</v>
      </c>
      <c r="C24" s="5" t="s">
        <v>139</v>
      </c>
      <c r="D24" s="5" t="n">
        <f aca="false">_xlfn.IFS(C24="Yes",1,C24="Partial",0.5,C24="N/A","N/A",C24="No",0)</f>
        <v>0</v>
      </c>
      <c r="E24" s="8" t="s">
        <v>140</v>
      </c>
    </row>
    <row r="25" customFormat="false" ht="30" hidden="false" customHeight="true" outlineLevel="0" collapsed="false">
      <c r="A25" s="5" t="n">
        <v>17</v>
      </c>
      <c r="B25" s="8" t="s">
        <v>57</v>
      </c>
      <c r="C25" s="5" t="s">
        <v>131</v>
      </c>
      <c r="D25" s="5" t="n">
        <f aca="false">_xlfn.IFS(C25="Yes",1,C25="Partial",0.5,C25="N/A","N/A",C25="No",0)</f>
        <v>0.5</v>
      </c>
      <c r="E25" s="8" t="s">
        <v>132</v>
      </c>
    </row>
    <row r="26" customFormat="false" ht="30" hidden="false" customHeight="true" outlineLevel="0" collapsed="false">
      <c r="A26" s="5" t="n">
        <v>18</v>
      </c>
      <c r="B26" s="8" t="s">
        <v>58</v>
      </c>
      <c r="C26" s="5" t="s">
        <v>139</v>
      </c>
      <c r="D26" s="5" t="n">
        <f aca="false">_xlfn.IFS(C26="Yes",1,C26="Partial",0.5,C26="N/A","N/A",C26="No",0)</f>
        <v>0</v>
      </c>
      <c r="E26" s="8" t="s">
        <v>140</v>
      </c>
    </row>
    <row r="27" customFormat="false" ht="15" hidden="false" customHeight="true" outlineLevel="0" collapsed="false">
      <c r="A27" s="9"/>
      <c r="B27" s="10" t="s">
        <v>59</v>
      </c>
      <c r="C27" s="10"/>
      <c r="D27" s="11" t="n">
        <f aca="false">IFERROR(AVERAGEIF(D18:D26,"&lt;&gt;N/A",D18:D26),0)</f>
        <v>0.388888888888889</v>
      </c>
      <c r="E27" s="9"/>
    </row>
    <row r="29" customFormat="false" ht="15" hidden="false" customHeight="true" outlineLevel="0" collapsed="false">
      <c r="A29" s="7" t="s">
        <v>60</v>
      </c>
      <c r="B29" s="7"/>
      <c r="C29" s="7"/>
      <c r="D29" s="7"/>
      <c r="E29" s="7"/>
    </row>
    <row r="30" customFormat="false" ht="30" hidden="false" customHeight="true" outlineLevel="0" collapsed="false">
      <c r="A30" s="5" t="n">
        <v>19</v>
      </c>
      <c r="B30" s="8" t="s">
        <v>61</v>
      </c>
      <c r="C30" s="5" t="s">
        <v>131</v>
      </c>
      <c r="D30" s="5" t="n">
        <f aca="false">_xlfn.IFS(C30="Yes",1,C30="Partial",0.5,C30="N/A","N/A",C30="No",0)</f>
        <v>0.5</v>
      </c>
      <c r="E30" s="8" t="s">
        <v>132</v>
      </c>
    </row>
    <row r="31" customFormat="false" ht="30" hidden="false" customHeight="true" outlineLevel="0" collapsed="false">
      <c r="A31" s="5" t="n">
        <v>20</v>
      </c>
      <c r="B31" s="8" t="s">
        <v>62</v>
      </c>
      <c r="C31" s="5" t="s">
        <v>131</v>
      </c>
      <c r="D31" s="5" t="n">
        <f aca="false">_xlfn.IFS(C31="Yes",1,C31="Partial",0.5,C31="N/A","N/A",C31="No",0)</f>
        <v>0.5</v>
      </c>
      <c r="E31" s="8" t="s">
        <v>132</v>
      </c>
    </row>
    <row r="32" customFormat="false" ht="30" hidden="false" customHeight="true" outlineLevel="0" collapsed="false">
      <c r="A32" s="5" t="n">
        <v>21</v>
      </c>
      <c r="B32" s="8" t="s">
        <v>63</v>
      </c>
      <c r="C32" s="5" t="s">
        <v>139</v>
      </c>
      <c r="D32" s="5" t="n">
        <f aca="false">_xlfn.IFS(C32="Yes",1,C32="Partial",0.5,C32="N/A","N/A",C32="No",0)</f>
        <v>0</v>
      </c>
      <c r="E32" s="8" t="s">
        <v>140</v>
      </c>
    </row>
    <row r="33" customFormat="false" ht="30" hidden="false" customHeight="true" outlineLevel="0" collapsed="false">
      <c r="A33" s="5" t="n">
        <v>22</v>
      </c>
      <c r="B33" s="8" t="s">
        <v>64</v>
      </c>
      <c r="C33" s="5" t="s">
        <v>139</v>
      </c>
      <c r="D33" s="5" t="n">
        <f aca="false">_xlfn.IFS(C33="Yes",1,C33="Partial",0.5,C33="N/A","N/A",C33="No",0)</f>
        <v>0</v>
      </c>
      <c r="E33" s="8" t="s">
        <v>140</v>
      </c>
    </row>
    <row r="34" customFormat="false" ht="30" hidden="false" customHeight="true" outlineLevel="0" collapsed="false">
      <c r="A34" s="5" t="n">
        <v>23</v>
      </c>
      <c r="B34" s="8" t="s">
        <v>65</v>
      </c>
      <c r="C34" s="5" t="s">
        <v>131</v>
      </c>
      <c r="D34" s="5" t="n">
        <f aca="false">_xlfn.IFS(C34="Yes",1,C34="Partial",0.5,C34="N/A","N/A",C34="No",0)</f>
        <v>0.5</v>
      </c>
      <c r="E34" s="8" t="s">
        <v>132</v>
      </c>
    </row>
    <row r="35" customFormat="false" ht="30" hidden="false" customHeight="true" outlineLevel="0" collapsed="false">
      <c r="A35" s="5" t="n">
        <v>24</v>
      </c>
      <c r="B35" s="8" t="s">
        <v>66</v>
      </c>
      <c r="C35" s="5" t="s">
        <v>38</v>
      </c>
      <c r="D35" s="5" t="n">
        <f aca="false">_xlfn.IFS(C35="Yes",1,C35="Partial",0.5,C35="N/A","N/A",C35="No",0)</f>
        <v>1</v>
      </c>
      <c r="E35" s="8" t="s">
        <v>39</v>
      </c>
    </row>
    <row r="36" customFormat="false" ht="30" hidden="false" customHeight="true" outlineLevel="0" collapsed="false">
      <c r="A36" s="5" t="n">
        <v>25</v>
      </c>
      <c r="B36" s="8" t="s">
        <v>67</v>
      </c>
      <c r="C36" s="5" t="s">
        <v>139</v>
      </c>
      <c r="D36" s="5" t="n">
        <f aca="false">_xlfn.IFS(C36="Yes",1,C36="Partial",0.5,C36="N/A","N/A",C36="No",0)</f>
        <v>0</v>
      </c>
      <c r="E36" s="8" t="s">
        <v>140</v>
      </c>
    </row>
    <row r="37" customFormat="false" ht="30" hidden="false" customHeight="true" outlineLevel="0" collapsed="false">
      <c r="A37" s="5" t="n">
        <v>26</v>
      </c>
      <c r="B37" s="8" t="s">
        <v>68</v>
      </c>
      <c r="C37" s="5" t="s">
        <v>139</v>
      </c>
      <c r="D37" s="5" t="n">
        <f aca="false">_xlfn.IFS(C37="Yes",1,C37="Partial",0.5,C37="N/A","N/A",C37="No",0)</f>
        <v>0</v>
      </c>
      <c r="E37" s="8" t="s">
        <v>140</v>
      </c>
    </row>
    <row r="38" customFormat="false" ht="30" hidden="false" customHeight="true" outlineLevel="0" collapsed="false">
      <c r="A38" s="5" t="n">
        <v>27</v>
      </c>
      <c r="B38" s="8" t="s">
        <v>69</v>
      </c>
      <c r="C38" s="5" t="s">
        <v>139</v>
      </c>
      <c r="D38" s="5" t="n">
        <f aca="false">_xlfn.IFS(C38="Yes",1,C38="Partial",0.5,C38="N/A","N/A",C38="No",0)</f>
        <v>0</v>
      </c>
      <c r="E38" s="8" t="s">
        <v>140</v>
      </c>
    </row>
    <row r="39" customFormat="false" ht="15" hidden="false" customHeight="true" outlineLevel="0" collapsed="false">
      <c r="A39" s="9"/>
      <c r="B39" s="10" t="s">
        <v>70</v>
      </c>
      <c r="C39" s="10"/>
      <c r="D39" s="11" t="n">
        <f aca="false">IFERROR(AVERAGEIF(D30:D38,"&lt;&gt;N/A",D30:D38),0)</f>
        <v>0.277777777777778</v>
      </c>
      <c r="E39" s="9"/>
    </row>
    <row r="41" customFormat="false" ht="15" hidden="false" customHeight="true" outlineLevel="0" collapsed="false">
      <c r="A41" s="7" t="s">
        <v>71</v>
      </c>
      <c r="B41" s="7"/>
      <c r="C41" s="7"/>
      <c r="D41" s="7"/>
      <c r="E41" s="7"/>
    </row>
    <row r="42" customFormat="false" ht="30" hidden="false" customHeight="true" outlineLevel="0" collapsed="false">
      <c r="A42" s="5" t="n">
        <v>28</v>
      </c>
      <c r="B42" s="8" t="s">
        <v>72</v>
      </c>
      <c r="C42" s="5" t="s">
        <v>139</v>
      </c>
      <c r="D42" s="5" t="n">
        <f aca="false">_xlfn.IFS(C42="Yes",1,C42="Partial",0.5,C42="N/A","N/A",C42="No",0)</f>
        <v>0</v>
      </c>
      <c r="E42" s="8" t="s">
        <v>140</v>
      </c>
    </row>
    <row r="43" customFormat="false" ht="30" hidden="false" customHeight="true" outlineLevel="0" collapsed="false">
      <c r="A43" s="5" t="n">
        <v>29</v>
      </c>
      <c r="B43" s="8" t="s">
        <v>73</v>
      </c>
      <c r="C43" s="5" t="s">
        <v>139</v>
      </c>
      <c r="D43" s="5" t="n">
        <f aca="false">_xlfn.IFS(C43="Yes",1,C43="Partial",0.5,C43="N/A","N/A",C43="No",0)</f>
        <v>0</v>
      </c>
      <c r="E43" s="8" t="s">
        <v>140</v>
      </c>
    </row>
    <row r="44" customFormat="false" ht="30" hidden="false" customHeight="true" outlineLevel="0" collapsed="false">
      <c r="A44" s="5" t="n">
        <v>30</v>
      </c>
      <c r="B44" s="8" t="s">
        <v>74</v>
      </c>
      <c r="C44" s="5" t="s">
        <v>139</v>
      </c>
      <c r="D44" s="5" t="n">
        <f aca="false">_xlfn.IFS(C44="Yes",1,C44="Partial",0.5,C44="N/A","N/A",C44="No",0)</f>
        <v>0</v>
      </c>
      <c r="E44" s="8" t="s">
        <v>140</v>
      </c>
    </row>
    <row r="45" customFormat="false" ht="30" hidden="false" customHeight="true" outlineLevel="0" collapsed="false">
      <c r="A45" s="5" t="n">
        <v>31</v>
      </c>
      <c r="B45" s="8" t="s">
        <v>75</v>
      </c>
      <c r="C45" s="5" t="s">
        <v>131</v>
      </c>
      <c r="D45" s="5" t="n">
        <f aca="false">_xlfn.IFS(C45="Yes",1,C45="Partial",0.5,C45="N/A","N/A",C45="No",0)</f>
        <v>0.5</v>
      </c>
      <c r="E45" s="8" t="s">
        <v>132</v>
      </c>
    </row>
    <row r="46" customFormat="false" ht="30" hidden="false" customHeight="true" outlineLevel="0" collapsed="false">
      <c r="A46" s="5" t="n">
        <v>32</v>
      </c>
      <c r="B46" s="8" t="s">
        <v>76</v>
      </c>
      <c r="C46" s="5" t="s">
        <v>131</v>
      </c>
      <c r="D46" s="5" t="n">
        <f aca="false">_xlfn.IFS(C46="Yes",1,C46="Partial",0.5,C46="N/A","N/A",C46="No",0)</f>
        <v>0.5</v>
      </c>
      <c r="E46" s="8" t="s">
        <v>132</v>
      </c>
    </row>
    <row r="47" customFormat="false" ht="30" hidden="false" customHeight="true" outlineLevel="0" collapsed="false">
      <c r="A47" s="5" t="n">
        <v>33</v>
      </c>
      <c r="B47" s="8" t="s">
        <v>77</v>
      </c>
      <c r="C47" s="5" t="s">
        <v>139</v>
      </c>
      <c r="D47" s="5" t="n">
        <f aca="false">_xlfn.IFS(C47="Yes",1,C47="Partial",0.5,C47="N/A","N/A",C47="No",0)</f>
        <v>0</v>
      </c>
      <c r="E47" s="8" t="s">
        <v>140</v>
      </c>
    </row>
    <row r="48" customFormat="false" ht="30" hidden="false" customHeight="true" outlineLevel="0" collapsed="false">
      <c r="A48" s="5" t="n">
        <v>34</v>
      </c>
      <c r="B48" s="8" t="s">
        <v>78</v>
      </c>
      <c r="C48" s="5" t="s">
        <v>139</v>
      </c>
      <c r="D48" s="5" t="n">
        <f aca="false">_xlfn.IFS(C48="Yes",1,C48="Partial",0.5,C48="N/A","N/A",C48="No",0)</f>
        <v>0</v>
      </c>
      <c r="E48" s="8" t="s">
        <v>140</v>
      </c>
    </row>
    <row r="49" customFormat="false" ht="30" hidden="false" customHeight="true" outlineLevel="0" collapsed="false">
      <c r="A49" s="5" t="n">
        <v>35</v>
      </c>
      <c r="B49" s="8" t="s">
        <v>79</v>
      </c>
      <c r="C49" s="5" t="s">
        <v>139</v>
      </c>
      <c r="D49" s="5" t="n">
        <f aca="false">_xlfn.IFS(C49="Yes",1,C49="Partial",0.5,C49="N/A","N/A",C49="No",0)</f>
        <v>0</v>
      </c>
      <c r="E49" s="8" t="s">
        <v>140</v>
      </c>
    </row>
    <row r="50" customFormat="false" ht="30" hidden="false" customHeight="true" outlineLevel="0" collapsed="false">
      <c r="A50" s="5" t="n">
        <v>36</v>
      </c>
      <c r="B50" s="8" t="s">
        <v>80</v>
      </c>
      <c r="C50" s="5" t="s">
        <v>131</v>
      </c>
      <c r="D50" s="5" t="n">
        <f aca="false">_xlfn.IFS(C50="Yes",1,C50="Partial",0.5,C50="N/A","N/A",C50="No",0)</f>
        <v>0.5</v>
      </c>
      <c r="E50" s="8" t="s">
        <v>132</v>
      </c>
    </row>
    <row r="51" customFormat="false" ht="15" hidden="false" customHeight="true" outlineLevel="0" collapsed="false">
      <c r="A51" s="9"/>
      <c r="B51" s="10" t="s">
        <v>81</v>
      </c>
      <c r="C51" s="10"/>
      <c r="D51" s="11" t="n">
        <f aca="false">IFERROR(AVERAGEIF(D42:D50,"&lt;&gt;N/A",D42:D50),0)</f>
        <v>0.166666666666667</v>
      </c>
      <c r="E51" s="9"/>
    </row>
    <row r="53" customFormat="false" ht="15" hidden="false" customHeight="true" outlineLevel="0" collapsed="false">
      <c r="A53" s="7" t="s">
        <v>82</v>
      </c>
      <c r="B53" s="7"/>
      <c r="C53" s="7"/>
      <c r="D53" s="7"/>
      <c r="E53" s="7"/>
    </row>
    <row r="54" customFormat="false" ht="30" hidden="false" customHeight="true" outlineLevel="0" collapsed="false">
      <c r="A54" s="5" t="n">
        <v>37</v>
      </c>
      <c r="B54" s="8" t="s">
        <v>83</v>
      </c>
      <c r="C54" s="5" t="s">
        <v>131</v>
      </c>
      <c r="D54" s="5" t="n">
        <f aca="false">_xlfn.IFS(C54="Yes",1,C54="Partial",0.5,C54="N/A","N/A",C54="No",0)</f>
        <v>0.5</v>
      </c>
      <c r="E54" s="8" t="s">
        <v>132</v>
      </c>
    </row>
    <row r="55" customFormat="false" ht="30" hidden="false" customHeight="true" outlineLevel="0" collapsed="false">
      <c r="A55" s="5" t="n">
        <v>38</v>
      </c>
      <c r="B55" s="8" t="s">
        <v>84</v>
      </c>
      <c r="C55" s="5" t="s">
        <v>139</v>
      </c>
      <c r="D55" s="5" t="n">
        <f aca="false">_xlfn.IFS(C55="Yes",1,C55="Partial",0.5,C55="N/A","N/A",C55="No",0)</f>
        <v>0</v>
      </c>
      <c r="E55" s="8" t="s">
        <v>140</v>
      </c>
    </row>
    <row r="56" customFormat="false" ht="30" hidden="false" customHeight="true" outlineLevel="0" collapsed="false">
      <c r="A56" s="5" t="n">
        <v>39</v>
      </c>
      <c r="B56" s="8" t="s">
        <v>85</v>
      </c>
      <c r="C56" s="5" t="s">
        <v>139</v>
      </c>
      <c r="D56" s="5" t="n">
        <f aca="false">_xlfn.IFS(C56="Yes",1,C56="Partial",0.5,C56="N/A","N/A",C56="No",0)</f>
        <v>0</v>
      </c>
      <c r="E56" s="8" t="s">
        <v>140</v>
      </c>
    </row>
    <row r="57" customFormat="false" ht="30" hidden="false" customHeight="true" outlineLevel="0" collapsed="false">
      <c r="A57" s="5" t="n">
        <v>40</v>
      </c>
      <c r="B57" s="8" t="s">
        <v>86</v>
      </c>
      <c r="C57" s="5" t="s">
        <v>131</v>
      </c>
      <c r="D57" s="5" t="n">
        <f aca="false">_xlfn.IFS(C57="Yes",1,C57="Partial",0.5,C57="N/A","N/A",C57="No",0)</f>
        <v>0.5</v>
      </c>
      <c r="E57" s="8" t="s">
        <v>132</v>
      </c>
    </row>
    <row r="58" customFormat="false" ht="30" hidden="false" customHeight="true" outlineLevel="0" collapsed="false">
      <c r="A58" s="5" t="n">
        <v>41</v>
      </c>
      <c r="B58" s="8" t="s">
        <v>87</v>
      </c>
      <c r="C58" s="5" t="s">
        <v>38</v>
      </c>
      <c r="D58" s="5" t="n">
        <f aca="false">_xlfn.IFS(C58="Yes",1,C58="Partial",0.5,C58="N/A","N/A",C58="No",0)</f>
        <v>1</v>
      </c>
      <c r="E58" s="8" t="s">
        <v>39</v>
      </c>
    </row>
    <row r="59" customFormat="false" ht="30" hidden="false" customHeight="true" outlineLevel="0" collapsed="false">
      <c r="A59" s="5" t="n">
        <v>42</v>
      </c>
      <c r="B59" s="8" t="s">
        <v>88</v>
      </c>
      <c r="C59" s="5" t="s">
        <v>131</v>
      </c>
      <c r="D59" s="5" t="n">
        <f aca="false">_xlfn.IFS(C59="Yes",1,C59="Partial",0.5,C59="N/A","N/A",C59="No",0)</f>
        <v>0.5</v>
      </c>
      <c r="E59" s="8" t="s">
        <v>132</v>
      </c>
    </row>
    <row r="60" customFormat="false" ht="30" hidden="false" customHeight="true" outlineLevel="0" collapsed="false">
      <c r="A60" s="5" t="n">
        <v>43</v>
      </c>
      <c r="B60" s="8" t="s">
        <v>89</v>
      </c>
      <c r="C60" s="5" t="s">
        <v>139</v>
      </c>
      <c r="D60" s="5" t="n">
        <f aca="false">_xlfn.IFS(C60="Yes",1,C60="Partial",0.5,C60="N/A","N/A",C60="No",0)</f>
        <v>0</v>
      </c>
      <c r="E60" s="8" t="s">
        <v>140</v>
      </c>
    </row>
    <row r="61" customFormat="false" ht="30" hidden="false" customHeight="true" outlineLevel="0" collapsed="false">
      <c r="A61" s="5" t="n">
        <v>44</v>
      </c>
      <c r="B61" s="8" t="s">
        <v>90</v>
      </c>
      <c r="C61" s="5" t="s">
        <v>139</v>
      </c>
      <c r="D61" s="5" t="n">
        <f aca="false">_xlfn.IFS(C61="Yes",1,C61="Partial",0.5,C61="N/A","N/A",C61="No",0)</f>
        <v>0</v>
      </c>
      <c r="E61" s="8" t="s">
        <v>140</v>
      </c>
    </row>
    <row r="62" customFormat="false" ht="30" hidden="false" customHeight="true" outlineLevel="0" collapsed="false">
      <c r="A62" s="5" t="n">
        <v>45</v>
      </c>
      <c r="B62" s="8" t="s">
        <v>91</v>
      </c>
      <c r="C62" s="5" t="s">
        <v>139</v>
      </c>
      <c r="D62" s="5" t="n">
        <f aca="false">_xlfn.IFS(C62="Yes",1,C62="Partial",0.5,C62="N/A","N/A",C62="No",0)</f>
        <v>0</v>
      </c>
      <c r="E62" s="8" t="s">
        <v>140</v>
      </c>
    </row>
    <row r="63" customFormat="false" ht="15" hidden="false" customHeight="true" outlineLevel="0" collapsed="false">
      <c r="A63" s="9"/>
      <c r="B63" s="10" t="s">
        <v>92</v>
      </c>
      <c r="C63" s="10"/>
      <c r="D63" s="11" t="n">
        <f aca="false">IFERROR(AVERAGEIF(D54:D62,"&lt;&gt;N/A",D54:D62),0)</f>
        <v>0.277777777777778</v>
      </c>
      <c r="E63" s="9"/>
    </row>
    <row r="65" customFormat="false" ht="15" hidden="false" customHeight="true" outlineLevel="0" collapsed="false">
      <c r="A65" s="7" t="s">
        <v>93</v>
      </c>
      <c r="B65" s="7"/>
      <c r="C65" s="7"/>
      <c r="D65" s="7"/>
      <c r="E65" s="7"/>
    </row>
    <row r="66" customFormat="false" ht="30" hidden="false" customHeight="true" outlineLevel="0" collapsed="false">
      <c r="A66" s="5" t="n">
        <v>46</v>
      </c>
      <c r="B66" s="8" t="s">
        <v>94</v>
      </c>
      <c r="C66" s="5" t="s">
        <v>131</v>
      </c>
      <c r="D66" s="5" t="n">
        <f aca="false">_xlfn.IFS(C66="Yes",1,C66="Partial",0.5,C66="N/A","N/A",C66="No",0)</f>
        <v>0.5</v>
      </c>
      <c r="E66" s="8" t="s">
        <v>132</v>
      </c>
    </row>
    <row r="67" customFormat="false" ht="30" hidden="false" customHeight="true" outlineLevel="0" collapsed="false">
      <c r="A67" s="5" t="n">
        <v>47</v>
      </c>
      <c r="B67" s="8" t="s">
        <v>95</v>
      </c>
      <c r="C67" s="5" t="s">
        <v>139</v>
      </c>
      <c r="D67" s="5" t="n">
        <f aca="false">_xlfn.IFS(C67="Yes",1,C67="Partial",0.5,C67="N/A","N/A",C67="No",0)</f>
        <v>0</v>
      </c>
      <c r="E67" s="8" t="s">
        <v>140</v>
      </c>
    </row>
    <row r="68" customFormat="false" ht="30" hidden="false" customHeight="true" outlineLevel="0" collapsed="false">
      <c r="A68" s="5" t="n">
        <v>48</v>
      </c>
      <c r="B68" s="8" t="s">
        <v>96</v>
      </c>
      <c r="C68" s="5" t="s">
        <v>131</v>
      </c>
      <c r="D68" s="5" t="n">
        <f aca="false">_xlfn.IFS(C68="Yes",1,C68="Partial",0.5,C68="N/A","N/A",C68="No",0)</f>
        <v>0.5</v>
      </c>
      <c r="E68" s="8" t="s">
        <v>132</v>
      </c>
    </row>
    <row r="69" customFormat="false" ht="30" hidden="false" customHeight="true" outlineLevel="0" collapsed="false">
      <c r="A69" s="5" t="n">
        <v>49</v>
      </c>
      <c r="B69" s="8" t="s">
        <v>97</v>
      </c>
      <c r="C69" s="5" t="s">
        <v>139</v>
      </c>
      <c r="D69" s="5" t="n">
        <f aca="false">_xlfn.IFS(C69="Yes",1,C69="Partial",0.5,C69="N/A","N/A",C69="No",0)</f>
        <v>0</v>
      </c>
      <c r="E69" s="8" t="s">
        <v>140</v>
      </c>
    </row>
    <row r="70" customFormat="false" ht="30" hidden="false" customHeight="true" outlineLevel="0" collapsed="false">
      <c r="A70" s="5" t="n">
        <v>50</v>
      </c>
      <c r="B70" s="8" t="s">
        <v>98</v>
      </c>
      <c r="C70" s="5" t="s">
        <v>139</v>
      </c>
      <c r="D70" s="5" t="n">
        <f aca="false">_xlfn.IFS(C70="Yes",1,C70="Partial",0.5,C70="N/A","N/A",C70="No",0)</f>
        <v>0</v>
      </c>
      <c r="E70" s="8" t="s">
        <v>140</v>
      </c>
    </row>
    <row r="71" customFormat="false" ht="30" hidden="false" customHeight="true" outlineLevel="0" collapsed="false">
      <c r="A71" s="5" t="n">
        <v>51</v>
      </c>
      <c r="B71" s="8" t="s">
        <v>99</v>
      </c>
      <c r="C71" s="5" t="s">
        <v>139</v>
      </c>
      <c r="D71" s="5" t="n">
        <f aca="false">_xlfn.IFS(C71="Yes",1,C71="Partial",0.5,C71="N/A","N/A",C71="No",0)</f>
        <v>0</v>
      </c>
      <c r="E71" s="8" t="s">
        <v>140</v>
      </c>
    </row>
    <row r="72" customFormat="false" ht="30" hidden="false" customHeight="true" outlineLevel="0" collapsed="false">
      <c r="A72" s="5" t="n">
        <v>52</v>
      </c>
      <c r="B72" s="8" t="s">
        <v>100</v>
      </c>
      <c r="C72" s="5" t="s">
        <v>131</v>
      </c>
      <c r="D72" s="5" t="n">
        <f aca="false">_xlfn.IFS(C72="Yes",1,C72="Partial",0.5,C72="N/A","N/A",C72="No",0)</f>
        <v>0.5</v>
      </c>
      <c r="E72" s="8" t="s">
        <v>132</v>
      </c>
    </row>
    <row r="73" customFormat="false" ht="30" hidden="false" customHeight="true" outlineLevel="0" collapsed="false">
      <c r="A73" s="5" t="n">
        <v>53</v>
      </c>
      <c r="B73" s="8" t="s">
        <v>101</v>
      </c>
      <c r="C73" s="5" t="s">
        <v>131</v>
      </c>
      <c r="D73" s="5" t="n">
        <f aca="false">_xlfn.IFS(C73="Yes",1,C73="Partial",0.5,C73="N/A","N/A",C73="No",0)</f>
        <v>0.5</v>
      </c>
      <c r="E73" s="8" t="s">
        <v>132</v>
      </c>
    </row>
    <row r="74" customFormat="false" ht="30" hidden="false" customHeight="true" outlineLevel="0" collapsed="false">
      <c r="A74" s="5" t="n">
        <v>54</v>
      </c>
      <c r="B74" s="8" t="s">
        <v>102</v>
      </c>
      <c r="C74" s="5" t="s">
        <v>131</v>
      </c>
      <c r="D74" s="5" t="n">
        <f aca="false">_xlfn.IFS(C74="Yes",1,C74="Partial",0.5,C74="N/A","N/A",C74="No",0)</f>
        <v>0.5</v>
      </c>
      <c r="E74" s="8" t="s">
        <v>132</v>
      </c>
    </row>
    <row r="75" customFormat="false" ht="15" hidden="false" customHeight="true" outlineLevel="0" collapsed="false">
      <c r="A75" s="9"/>
      <c r="B75" s="10" t="s">
        <v>103</v>
      </c>
      <c r="C75" s="10"/>
      <c r="D75" s="11" t="n">
        <f aca="false">IFERROR(AVERAGEIF(D66:D74,"&lt;&gt;N/A",D66:D74),0)</f>
        <v>0.277777777777778</v>
      </c>
      <c r="E75" s="9"/>
    </row>
    <row r="77" customFormat="false" ht="15" hidden="false" customHeight="true" outlineLevel="0" collapsed="false">
      <c r="A77" s="7" t="s">
        <v>104</v>
      </c>
      <c r="B77" s="7"/>
      <c r="C77" s="7"/>
      <c r="D77" s="7"/>
      <c r="E77" s="7"/>
    </row>
    <row r="78" customFormat="false" ht="30" hidden="false" customHeight="true" outlineLevel="0" collapsed="false">
      <c r="A78" s="5" t="n">
        <v>55</v>
      </c>
      <c r="B78" s="8" t="s">
        <v>105</v>
      </c>
      <c r="C78" s="5" t="s">
        <v>139</v>
      </c>
      <c r="D78" s="5" t="n">
        <f aca="false">_xlfn.IFS(C78="Yes",1,C78="Partial",0.5,C78="N/A","N/A",C78="No",0)</f>
        <v>0</v>
      </c>
      <c r="E78" s="8" t="s">
        <v>140</v>
      </c>
    </row>
    <row r="79" customFormat="false" ht="30" hidden="false" customHeight="true" outlineLevel="0" collapsed="false">
      <c r="A79" s="5" t="n">
        <v>56</v>
      </c>
      <c r="B79" s="8" t="s">
        <v>106</v>
      </c>
      <c r="C79" s="5" t="s">
        <v>139</v>
      </c>
      <c r="D79" s="5" t="n">
        <f aca="false">_xlfn.IFS(C79="Yes",1,C79="Partial",0.5,C79="N/A","N/A",C79="No",0)</f>
        <v>0</v>
      </c>
      <c r="E79" s="8" t="s">
        <v>140</v>
      </c>
    </row>
    <row r="80" customFormat="false" ht="30" hidden="false" customHeight="true" outlineLevel="0" collapsed="false">
      <c r="A80" s="5" t="n">
        <v>57</v>
      </c>
      <c r="B80" s="8" t="s">
        <v>107</v>
      </c>
      <c r="C80" s="5" t="s">
        <v>108</v>
      </c>
      <c r="D80" s="5" t="str">
        <f aca="false">_xlfn.IFS(C80="Yes",1,C80="Partial",0.5,C80="N/A","N/A",C80="No",0)</f>
        <v>N/A</v>
      </c>
      <c r="E80" s="8" t="s">
        <v>109</v>
      </c>
    </row>
    <row r="81" customFormat="false" ht="30" hidden="false" customHeight="true" outlineLevel="0" collapsed="false">
      <c r="A81" s="5" t="n">
        <v>58</v>
      </c>
      <c r="B81" s="8" t="s">
        <v>110</v>
      </c>
      <c r="C81" s="5" t="s">
        <v>131</v>
      </c>
      <c r="D81" s="5" t="n">
        <f aca="false">_xlfn.IFS(C81="Yes",1,C81="Partial",0.5,C81="N/A","N/A",C81="No",0)</f>
        <v>0.5</v>
      </c>
      <c r="E81" s="8" t="s">
        <v>132</v>
      </c>
    </row>
    <row r="82" customFormat="false" ht="30" hidden="false" customHeight="true" outlineLevel="0" collapsed="false">
      <c r="A82" s="5" t="n">
        <v>59</v>
      </c>
      <c r="B82" s="8" t="s">
        <v>111</v>
      </c>
      <c r="C82" s="5" t="s">
        <v>131</v>
      </c>
      <c r="D82" s="5" t="n">
        <f aca="false">_xlfn.IFS(C82="Yes",1,C82="Partial",0.5,C82="N/A","N/A",C82="No",0)</f>
        <v>0.5</v>
      </c>
      <c r="E82" s="8" t="s">
        <v>132</v>
      </c>
    </row>
    <row r="83" customFormat="false" ht="30" hidden="false" customHeight="true" outlineLevel="0" collapsed="false">
      <c r="A83" s="5" t="n">
        <v>60</v>
      </c>
      <c r="B83" s="8" t="s">
        <v>112</v>
      </c>
      <c r="C83" s="5" t="s">
        <v>139</v>
      </c>
      <c r="D83" s="5" t="n">
        <f aca="false">_xlfn.IFS(C83="Yes",1,C83="Partial",0.5,C83="N/A","N/A",C83="No",0)</f>
        <v>0</v>
      </c>
      <c r="E83" s="8" t="s">
        <v>140</v>
      </c>
    </row>
    <row r="84" customFormat="false" ht="30" hidden="false" customHeight="true" outlineLevel="0" collapsed="false">
      <c r="A84" s="5" t="n">
        <v>61</v>
      </c>
      <c r="B84" s="8" t="s">
        <v>113</v>
      </c>
      <c r="C84" s="5" t="s">
        <v>131</v>
      </c>
      <c r="D84" s="5" t="n">
        <f aca="false">_xlfn.IFS(C84="Yes",1,C84="Partial",0.5,C84="N/A","N/A",C84="No",0)</f>
        <v>0.5</v>
      </c>
      <c r="E84" s="8" t="s">
        <v>132</v>
      </c>
    </row>
    <row r="85" customFormat="false" ht="30" hidden="false" customHeight="true" outlineLevel="0" collapsed="false">
      <c r="A85" s="5" t="n">
        <v>62</v>
      </c>
      <c r="B85" s="8" t="s">
        <v>114</v>
      </c>
      <c r="C85" s="5" t="s">
        <v>139</v>
      </c>
      <c r="D85" s="5" t="n">
        <f aca="false">_xlfn.IFS(C85="Yes",1,C85="Partial",0.5,C85="N/A","N/A",C85="No",0)</f>
        <v>0</v>
      </c>
      <c r="E85" s="8" t="s">
        <v>140</v>
      </c>
    </row>
    <row r="86" customFormat="false" ht="30" hidden="false" customHeight="true" outlineLevel="0" collapsed="false">
      <c r="A86" s="5" t="n">
        <v>63</v>
      </c>
      <c r="B86" s="8" t="s">
        <v>115</v>
      </c>
      <c r="C86" s="5" t="s">
        <v>139</v>
      </c>
      <c r="D86" s="5" t="n">
        <f aca="false">_xlfn.IFS(C86="Yes",1,C86="Partial",0.5,C86="N/A","N/A",C86="No",0)</f>
        <v>0</v>
      </c>
      <c r="E86" s="8" t="s">
        <v>140</v>
      </c>
    </row>
    <row r="87" customFormat="false" ht="15" hidden="false" customHeight="true" outlineLevel="0" collapsed="false">
      <c r="A87" s="9"/>
      <c r="B87" s="10" t="s">
        <v>116</v>
      </c>
      <c r="C87" s="10"/>
      <c r="D87" s="11" t="n">
        <f aca="false">IFERROR(AVERAGEIF(D78:D86,"&lt;&gt;N/A",D78:D86),0)</f>
        <v>0.1875</v>
      </c>
      <c r="E87" s="9"/>
    </row>
    <row r="89" customFormat="false" ht="15" hidden="false" customHeight="true" outlineLevel="0" collapsed="false">
      <c r="A89" s="7" t="s">
        <v>117</v>
      </c>
      <c r="B89" s="7"/>
      <c r="C89" s="7"/>
      <c r="D89" s="7"/>
      <c r="E89" s="7"/>
    </row>
    <row r="90" customFormat="false" ht="30" hidden="false" customHeight="true" outlineLevel="0" collapsed="false">
      <c r="A90" s="5" t="n">
        <v>64</v>
      </c>
      <c r="B90" s="8" t="s">
        <v>118</v>
      </c>
      <c r="C90" s="5" t="s">
        <v>139</v>
      </c>
      <c r="D90" s="5" t="n">
        <f aca="false">_xlfn.IFS(C90="Yes",1,C90="Partial",0.5,C90="N/A","N/A",C90="No",0)</f>
        <v>0</v>
      </c>
      <c r="E90" s="8" t="s">
        <v>140</v>
      </c>
    </row>
    <row r="91" customFormat="false" ht="30" hidden="false" customHeight="true" outlineLevel="0" collapsed="false">
      <c r="A91" s="5" t="n">
        <v>65</v>
      </c>
      <c r="B91" s="8" t="s">
        <v>119</v>
      </c>
      <c r="C91" s="5" t="s">
        <v>139</v>
      </c>
      <c r="D91" s="5" t="n">
        <f aca="false">_xlfn.IFS(C91="Yes",1,C91="Partial",0.5,C91="N/A","N/A",C91="No",0)</f>
        <v>0</v>
      </c>
      <c r="E91" s="8" t="s">
        <v>140</v>
      </c>
    </row>
    <row r="92" customFormat="false" ht="30" hidden="false" customHeight="true" outlineLevel="0" collapsed="false">
      <c r="A92" s="5" t="n">
        <v>66</v>
      </c>
      <c r="B92" s="8" t="s">
        <v>120</v>
      </c>
      <c r="C92" s="5" t="s">
        <v>139</v>
      </c>
      <c r="D92" s="5" t="n">
        <f aca="false">_xlfn.IFS(C92="Yes",1,C92="Partial",0.5,C92="N/A","N/A",C92="No",0)</f>
        <v>0</v>
      </c>
      <c r="E92" s="8" t="s">
        <v>140</v>
      </c>
    </row>
    <row r="93" customFormat="false" ht="30" hidden="false" customHeight="true" outlineLevel="0" collapsed="false">
      <c r="A93" s="5" t="n">
        <v>67</v>
      </c>
      <c r="B93" s="8" t="s">
        <v>121</v>
      </c>
      <c r="C93" s="5" t="s">
        <v>139</v>
      </c>
      <c r="D93" s="5" t="n">
        <f aca="false">_xlfn.IFS(C93="Yes",1,C93="Partial",0.5,C93="N/A","N/A",C93="No",0)</f>
        <v>0</v>
      </c>
      <c r="E93" s="8" t="s">
        <v>140</v>
      </c>
    </row>
    <row r="94" customFormat="false" ht="30" hidden="false" customHeight="true" outlineLevel="0" collapsed="false">
      <c r="A94" s="5" t="n">
        <v>68</v>
      </c>
      <c r="B94" s="8" t="s">
        <v>122</v>
      </c>
      <c r="C94" s="5" t="s">
        <v>131</v>
      </c>
      <c r="D94" s="5" t="n">
        <f aca="false">_xlfn.IFS(C94="Yes",1,C94="Partial",0.5,C94="N/A","N/A",C94="No",0)</f>
        <v>0.5</v>
      </c>
      <c r="E94" s="8" t="s">
        <v>132</v>
      </c>
    </row>
    <row r="95" customFormat="false" ht="30" hidden="false" customHeight="true" outlineLevel="0" collapsed="false">
      <c r="A95" s="5" t="n">
        <v>69</v>
      </c>
      <c r="B95" s="8" t="s">
        <v>123</v>
      </c>
      <c r="C95" s="5" t="s">
        <v>139</v>
      </c>
      <c r="D95" s="5" t="n">
        <f aca="false">_xlfn.IFS(C95="Yes",1,C95="Partial",0.5,C95="N/A","N/A",C95="No",0)</f>
        <v>0</v>
      </c>
      <c r="E95" s="8" t="s">
        <v>140</v>
      </c>
    </row>
    <row r="96" customFormat="false" ht="30" hidden="false" customHeight="true" outlineLevel="0" collapsed="false">
      <c r="A96" s="5" t="n">
        <v>70</v>
      </c>
      <c r="B96" s="8" t="s">
        <v>124</v>
      </c>
      <c r="C96" s="5" t="s">
        <v>139</v>
      </c>
      <c r="D96" s="5" t="n">
        <f aca="false">_xlfn.IFS(C96="Yes",1,C96="Partial",0.5,C96="N/A","N/A",C96="No",0)</f>
        <v>0</v>
      </c>
      <c r="E96" s="8" t="s">
        <v>140</v>
      </c>
    </row>
    <row r="97" customFormat="false" ht="30" hidden="false" customHeight="true" outlineLevel="0" collapsed="false">
      <c r="A97" s="5" t="n">
        <v>71</v>
      </c>
      <c r="B97" s="8" t="s">
        <v>125</v>
      </c>
      <c r="C97" s="5" t="s">
        <v>139</v>
      </c>
      <c r="D97" s="5" t="n">
        <f aca="false">_xlfn.IFS(C97="Yes",1,C97="Partial",0.5,C97="N/A","N/A",C97="No",0)</f>
        <v>0</v>
      </c>
      <c r="E97" s="8" t="s">
        <v>140</v>
      </c>
    </row>
    <row r="98" customFormat="false" ht="15" hidden="false" customHeight="true" outlineLevel="0" collapsed="false">
      <c r="A98" s="9"/>
      <c r="B98" s="10" t="s">
        <v>126</v>
      </c>
      <c r="C98" s="10"/>
      <c r="D98" s="11" t="n">
        <f aca="false">IFERROR(AVERAGEIF(D90:D97,"&lt;&gt;N/A",D90:D97),0)</f>
        <v>0.0625</v>
      </c>
      <c r="E98" s="9"/>
    </row>
    <row r="100" customFormat="false" ht="15" hidden="false" customHeight="true" outlineLevel="0" collapsed="false">
      <c r="A100" s="12" t="s">
        <v>127</v>
      </c>
      <c r="B100" s="12"/>
      <c r="C100" s="12"/>
      <c r="D100" s="13" t="n">
        <f aca="false">AVERAGE(D15,D27,D39,D51,D63,D75,D87,D98)</f>
        <v>0.246527777777778</v>
      </c>
      <c r="E100" s="14"/>
    </row>
    <row r="101" customFormat="false" ht="23.25" hidden="false" customHeight="true" outlineLevel="0" collapsed="false">
      <c r="A101" s="12" t="s">
        <v>128</v>
      </c>
      <c r="B101" s="12"/>
      <c r="C101" s="12"/>
      <c r="D101" s="15" t="str">
        <f aca="false">_xlfn.IFS(D100&gt;=0.85,"Low Risk",D100&gt;=0.65,"Medium Risk",D100&gt;=0.45,"High Risk",D100&lt;0.45,"Critical Risk")</f>
        <v>Critical Risk</v>
      </c>
      <c r="E101" s="14"/>
    </row>
  </sheetData>
  <mergeCells count="18">
    <mergeCell ref="A5:E5"/>
    <mergeCell ref="B15:C15"/>
    <mergeCell ref="A17:E17"/>
    <mergeCell ref="B27:C27"/>
    <mergeCell ref="A29:E29"/>
    <mergeCell ref="B39:C39"/>
    <mergeCell ref="A41:E41"/>
    <mergeCell ref="B51:C51"/>
    <mergeCell ref="A53:E53"/>
    <mergeCell ref="B63:C63"/>
    <mergeCell ref="A65:E65"/>
    <mergeCell ref="B75:C75"/>
    <mergeCell ref="A77:E77"/>
    <mergeCell ref="B87:C87"/>
    <mergeCell ref="A89:E89"/>
    <mergeCell ref="B98:C98"/>
    <mergeCell ref="A100:C100"/>
    <mergeCell ref="A101:C101"/>
  </mergeCells>
  <conditionalFormatting sqref="C5:C98">
    <cfRule type="cellIs" priority="2" operator="equal" aboveAverage="0" equalAverage="0" bottom="0" percent="0" rank="0" text="" dxfId="3">
      <formula>"Yes"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1">
      <formula>"No"</formula>
    </cfRule>
  </conditionalFormatting>
  <conditionalFormatting sqref="D101">
    <cfRule type="cellIs" priority="5" operator="equal" aboveAverage="0" equalAverage="0" bottom="0" percent="0" rank="0" text="" dxfId="0">
      <formula>"Critical Risk"</formula>
    </cfRule>
    <cfRule type="cellIs" priority="6" operator="equal" aboveAverage="0" equalAverage="0" bottom="0" percent="0" rank="0" text="" dxfId="1">
      <formula>"High Risk"</formula>
    </cfRule>
    <cfRule type="cellIs" priority="7" operator="equal" aboveAverage="0" equalAverage="0" bottom="0" percent="0" rank="0" text="" dxfId="2">
      <formula>"Medium Risk"</formula>
    </cfRule>
    <cfRule type="cellIs" priority="8" operator="equal" aboveAverage="0" equalAverage="0" bottom="0" percent="0" rank="0" text="" dxfId="3">
      <formula>"Low Risk"</formula>
    </cfRule>
  </conditionalFormatting>
  <dataValidations count="1">
    <dataValidation allowBlank="false" errorStyle="stop" operator="between" showDropDown="false" showErrorMessage="false" showInputMessage="false" sqref="C5:C98" type="list">
      <formula1>"Yes,Partial,No,N/A"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2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38"/>
  </cols>
  <sheetData>
    <row r="1" customFormat="false" ht="17.25" hidden="false" customHeight="true" outlineLevel="0" collapsed="false">
      <c r="A1" s="2" t="s">
        <v>142</v>
      </c>
    </row>
    <row r="2" customFormat="false" ht="15" hidden="false" customHeight="true" outlineLevel="0" collapsed="false">
      <c r="A2" s="3" t="s">
        <v>143</v>
      </c>
    </row>
    <row r="4" customFormat="false" ht="15" hidden="false" customHeight="true" outlineLevel="0" collapsed="false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</row>
    <row r="5" customFormat="false" ht="15" hidden="false" customHeight="true" outlineLevel="0" collapsed="false">
      <c r="A5" s="7" t="s">
        <v>36</v>
      </c>
      <c r="B5" s="7"/>
      <c r="C5" s="7"/>
      <c r="D5" s="7"/>
      <c r="E5" s="7"/>
    </row>
    <row r="6" customFormat="false" ht="30" hidden="false" customHeight="true" outlineLevel="0" collapsed="false">
      <c r="A6" s="5" t="n">
        <v>1</v>
      </c>
      <c r="B6" s="8" t="s">
        <v>37</v>
      </c>
      <c r="C6" s="5" t="s">
        <v>38</v>
      </c>
      <c r="D6" s="5" t="n">
        <f aca="false">_xlfn.IFS(C6="Yes",1,C6="Partial",0.5,C6="N/A","N/A",C6="No",0)</f>
        <v>1</v>
      </c>
      <c r="E6" s="8" t="s">
        <v>39</v>
      </c>
    </row>
    <row r="7" customFormat="false" ht="30" hidden="false" customHeight="true" outlineLevel="0" collapsed="false">
      <c r="A7" s="5" t="n">
        <v>2</v>
      </c>
      <c r="B7" s="8" t="s">
        <v>40</v>
      </c>
      <c r="C7" s="5" t="s">
        <v>131</v>
      </c>
      <c r="D7" s="5" t="n">
        <f aca="false">_xlfn.IFS(C7="Yes",1,C7="Partial",0.5,C7="N/A","N/A",C7="No",0)</f>
        <v>0.5</v>
      </c>
      <c r="E7" s="8" t="s">
        <v>132</v>
      </c>
    </row>
    <row r="8" customFormat="false" ht="30" hidden="false" customHeight="true" outlineLevel="0" collapsed="false">
      <c r="A8" s="5" t="n">
        <v>3</v>
      </c>
      <c r="B8" s="8" t="s">
        <v>41</v>
      </c>
      <c r="C8" s="5" t="s">
        <v>38</v>
      </c>
      <c r="D8" s="5" t="n">
        <f aca="false">_xlfn.IFS(C8="Yes",1,C8="Partial",0.5,C8="N/A","N/A",C8="No",0)</f>
        <v>1</v>
      </c>
      <c r="E8" s="8" t="s">
        <v>39</v>
      </c>
    </row>
    <row r="9" customFormat="false" ht="30" hidden="false" customHeight="true" outlineLevel="0" collapsed="false">
      <c r="A9" s="5" t="n">
        <v>4</v>
      </c>
      <c r="B9" s="8" t="s">
        <v>42</v>
      </c>
      <c r="C9" s="5" t="s">
        <v>38</v>
      </c>
      <c r="D9" s="5" t="n">
        <f aca="false">_xlfn.IFS(C9="Yes",1,C9="Partial",0.5,C9="N/A","N/A",C9="No",0)</f>
        <v>1</v>
      </c>
      <c r="E9" s="8" t="s">
        <v>39</v>
      </c>
    </row>
    <row r="10" customFormat="false" ht="30" hidden="false" customHeight="true" outlineLevel="0" collapsed="false">
      <c r="A10" s="5" t="n">
        <v>5</v>
      </c>
      <c r="B10" s="8" t="s">
        <v>43</v>
      </c>
      <c r="C10" s="5" t="s">
        <v>38</v>
      </c>
      <c r="D10" s="5" t="n">
        <f aca="false">_xlfn.IFS(C10="Yes",1,C10="Partial",0.5,C10="N/A","N/A",C10="No",0)</f>
        <v>1</v>
      </c>
      <c r="E10" s="8" t="s">
        <v>39</v>
      </c>
    </row>
    <row r="11" customFormat="false" ht="30" hidden="false" customHeight="true" outlineLevel="0" collapsed="false">
      <c r="A11" s="5" t="n">
        <v>6</v>
      </c>
      <c r="B11" s="8" t="s">
        <v>44</v>
      </c>
      <c r="C11" s="5" t="s">
        <v>131</v>
      </c>
      <c r="D11" s="5" t="n">
        <f aca="false">_xlfn.IFS(C11="Yes",1,C11="Partial",0.5,C11="N/A","N/A",C11="No",0)</f>
        <v>0.5</v>
      </c>
      <c r="E11" s="8" t="s">
        <v>132</v>
      </c>
    </row>
    <row r="12" customFormat="false" ht="30" hidden="false" customHeight="true" outlineLevel="0" collapsed="false">
      <c r="A12" s="5" t="n">
        <v>7</v>
      </c>
      <c r="B12" s="8" t="s">
        <v>45</v>
      </c>
      <c r="C12" s="5" t="s">
        <v>131</v>
      </c>
      <c r="D12" s="5" t="n">
        <f aca="false">_xlfn.IFS(C12="Yes",1,C12="Partial",0.5,C12="N/A","N/A",C12="No",0)</f>
        <v>0.5</v>
      </c>
      <c r="E12" s="8" t="s">
        <v>132</v>
      </c>
    </row>
    <row r="13" customFormat="false" ht="30" hidden="false" customHeight="true" outlineLevel="0" collapsed="false">
      <c r="A13" s="5" t="n">
        <v>8</v>
      </c>
      <c r="B13" s="8" t="s">
        <v>46</v>
      </c>
      <c r="C13" s="5" t="s">
        <v>38</v>
      </c>
      <c r="D13" s="5" t="n">
        <f aca="false">_xlfn.IFS(C13="Yes",1,C13="Partial",0.5,C13="N/A","N/A",C13="No",0)</f>
        <v>1</v>
      </c>
      <c r="E13" s="8" t="s">
        <v>39</v>
      </c>
    </row>
    <row r="14" customFormat="false" ht="30" hidden="false" customHeight="true" outlineLevel="0" collapsed="false">
      <c r="A14" s="5" t="n">
        <v>9</v>
      </c>
      <c r="B14" s="8" t="s">
        <v>47</v>
      </c>
      <c r="C14" s="5" t="s">
        <v>38</v>
      </c>
      <c r="D14" s="5" t="n">
        <f aca="false">_xlfn.IFS(C14="Yes",1,C14="Partial",0.5,C14="N/A","N/A",C14="No",0)</f>
        <v>1</v>
      </c>
      <c r="E14" s="8" t="s">
        <v>39</v>
      </c>
    </row>
    <row r="15" customFormat="false" ht="15" hidden="false" customHeight="true" outlineLevel="0" collapsed="false">
      <c r="A15" s="9"/>
      <c r="B15" s="10" t="s">
        <v>48</v>
      </c>
      <c r="C15" s="10"/>
      <c r="D15" s="11" t="n">
        <f aca="false">IFERROR(AVERAGEIF(D6:D14,"&lt;&gt;N/A",D6:D14),0)</f>
        <v>0.833333333333333</v>
      </c>
      <c r="E15" s="9"/>
    </row>
    <row r="17" customFormat="false" ht="15" hidden="false" customHeight="true" outlineLevel="0" collapsed="false">
      <c r="A17" s="7" t="s">
        <v>49</v>
      </c>
      <c r="B17" s="7"/>
      <c r="C17" s="7"/>
      <c r="D17" s="7"/>
      <c r="E17" s="7"/>
    </row>
    <row r="18" customFormat="false" ht="30" hidden="false" customHeight="true" outlineLevel="0" collapsed="false">
      <c r="A18" s="5" t="n">
        <v>10</v>
      </c>
      <c r="B18" s="8" t="s">
        <v>50</v>
      </c>
      <c r="C18" s="5" t="s">
        <v>38</v>
      </c>
      <c r="D18" s="5" t="n">
        <f aca="false">_xlfn.IFS(C18="Yes",1,C18="Partial",0.5,C18="N/A","N/A",C18="No",0)</f>
        <v>1</v>
      </c>
      <c r="E18" s="8" t="s">
        <v>39</v>
      </c>
    </row>
    <row r="19" customFormat="false" ht="30" hidden="false" customHeight="true" outlineLevel="0" collapsed="false">
      <c r="A19" s="5" t="n">
        <v>11</v>
      </c>
      <c r="B19" s="8" t="s">
        <v>51</v>
      </c>
      <c r="C19" s="5" t="s">
        <v>38</v>
      </c>
      <c r="D19" s="5" t="n">
        <f aca="false">_xlfn.IFS(C19="Yes",1,C19="Partial",0.5,C19="N/A","N/A",C19="No",0)</f>
        <v>1</v>
      </c>
      <c r="E19" s="8" t="s">
        <v>39</v>
      </c>
    </row>
    <row r="20" customFormat="false" ht="30" hidden="false" customHeight="true" outlineLevel="0" collapsed="false">
      <c r="A20" s="5" t="n">
        <v>12</v>
      </c>
      <c r="B20" s="8" t="s">
        <v>52</v>
      </c>
      <c r="C20" s="5" t="s">
        <v>38</v>
      </c>
      <c r="D20" s="5" t="n">
        <f aca="false">_xlfn.IFS(C20="Yes",1,C20="Partial",0.5,C20="N/A","N/A",C20="No",0)</f>
        <v>1</v>
      </c>
      <c r="E20" s="8" t="s">
        <v>39</v>
      </c>
    </row>
    <row r="21" customFormat="false" ht="30" hidden="false" customHeight="true" outlineLevel="0" collapsed="false">
      <c r="A21" s="5" t="n">
        <v>13</v>
      </c>
      <c r="B21" s="8" t="s">
        <v>53</v>
      </c>
      <c r="C21" s="5" t="s">
        <v>131</v>
      </c>
      <c r="D21" s="5" t="n">
        <f aca="false">_xlfn.IFS(C21="Yes",1,C21="Partial",0.5,C21="N/A","N/A",C21="No",0)</f>
        <v>0.5</v>
      </c>
      <c r="E21" s="8" t="s">
        <v>132</v>
      </c>
    </row>
    <row r="22" customFormat="false" ht="30" hidden="false" customHeight="true" outlineLevel="0" collapsed="false">
      <c r="A22" s="5" t="n">
        <v>14</v>
      </c>
      <c r="B22" s="8" t="s">
        <v>54</v>
      </c>
      <c r="C22" s="5" t="s">
        <v>38</v>
      </c>
      <c r="D22" s="5" t="n">
        <f aca="false">_xlfn.IFS(C22="Yes",1,C22="Partial",0.5,C22="N/A","N/A",C22="No",0)</f>
        <v>1</v>
      </c>
      <c r="E22" s="8" t="s">
        <v>39</v>
      </c>
    </row>
    <row r="23" customFormat="false" ht="30" hidden="false" customHeight="true" outlineLevel="0" collapsed="false">
      <c r="A23" s="5" t="n">
        <v>15</v>
      </c>
      <c r="B23" s="8" t="s">
        <v>55</v>
      </c>
      <c r="C23" s="5" t="s">
        <v>38</v>
      </c>
      <c r="D23" s="5" t="n">
        <f aca="false">_xlfn.IFS(C23="Yes",1,C23="Partial",0.5,C23="N/A","N/A",C23="No",0)</f>
        <v>1</v>
      </c>
      <c r="E23" s="8" t="s">
        <v>39</v>
      </c>
    </row>
    <row r="24" customFormat="false" ht="30" hidden="false" customHeight="true" outlineLevel="0" collapsed="false">
      <c r="A24" s="5" t="n">
        <v>16</v>
      </c>
      <c r="B24" s="8" t="s">
        <v>56</v>
      </c>
      <c r="C24" s="5" t="s">
        <v>131</v>
      </c>
      <c r="D24" s="5" t="n">
        <f aca="false">_xlfn.IFS(C24="Yes",1,C24="Partial",0.5,C24="N/A","N/A",C24="No",0)</f>
        <v>0.5</v>
      </c>
      <c r="E24" s="8" t="s">
        <v>132</v>
      </c>
    </row>
    <row r="25" customFormat="false" ht="30" hidden="false" customHeight="true" outlineLevel="0" collapsed="false">
      <c r="A25" s="5" t="n">
        <v>17</v>
      </c>
      <c r="B25" s="8" t="s">
        <v>57</v>
      </c>
      <c r="C25" s="5" t="s">
        <v>38</v>
      </c>
      <c r="D25" s="5" t="n">
        <f aca="false">_xlfn.IFS(C25="Yes",1,C25="Partial",0.5,C25="N/A","N/A",C25="No",0)</f>
        <v>1</v>
      </c>
      <c r="E25" s="8" t="s">
        <v>39</v>
      </c>
    </row>
    <row r="26" customFormat="false" ht="30" hidden="false" customHeight="true" outlineLevel="0" collapsed="false">
      <c r="A26" s="5" t="n">
        <v>18</v>
      </c>
      <c r="B26" s="8" t="s">
        <v>58</v>
      </c>
      <c r="C26" s="5" t="s">
        <v>131</v>
      </c>
      <c r="D26" s="5" t="n">
        <f aca="false">_xlfn.IFS(C26="Yes",1,C26="Partial",0.5,C26="N/A","N/A",C26="No",0)</f>
        <v>0.5</v>
      </c>
      <c r="E26" s="8" t="s">
        <v>132</v>
      </c>
    </row>
    <row r="27" customFormat="false" ht="15" hidden="false" customHeight="true" outlineLevel="0" collapsed="false">
      <c r="A27" s="9"/>
      <c r="B27" s="10" t="s">
        <v>59</v>
      </c>
      <c r="C27" s="10"/>
      <c r="D27" s="11" t="n">
        <f aca="false">IFERROR(AVERAGEIF(D18:D26,"&lt;&gt;N/A",D18:D26),0)</f>
        <v>0.833333333333333</v>
      </c>
      <c r="E27" s="9"/>
    </row>
    <row r="29" customFormat="false" ht="15" hidden="false" customHeight="true" outlineLevel="0" collapsed="false">
      <c r="A29" s="7" t="s">
        <v>60</v>
      </c>
      <c r="B29" s="7"/>
      <c r="C29" s="7"/>
      <c r="D29" s="7"/>
      <c r="E29" s="7"/>
    </row>
    <row r="30" customFormat="false" ht="30" hidden="false" customHeight="true" outlineLevel="0" collapsed="false">
      <c r="A30" s="5" t="n">
        <v>19</v>
      </c>
      <c r="B30" s="8" t="s">
        <v>61</v>
      </c>
      <c r="C30" s="5" t="s">
        <v>38</v>
      </c>
      <c r="D30" s="5" t="n">
        <f aca="false">_xlfn.IFS(C30="Yes",1,C30="Partial",0.5,C30="N/A","N/A",C30="No",0)</f>
        <v>1</v>
      </c>
      <c r="E30" s="8" t="s">
        <v>39</v>
      </c>
    </row>
    <row r="31" customFormat="false" ht="30" hidden="false" customHeight="true" outlineLevel="0" collapsed="false">
      <c r="A31" s="5" t="n">
        <v>20</v>
      </c>
      <c r="B31" s="8" t="s">
        <v>62</v>
      </c>
      <c r="C31" s="5" t="s">
        <v>38</v>
      </c>
      <c r="D31" s="5" t="n">
        <f aca="false">_xlfn.IFS(C31="Yes",1,C31="Partial",0.5,C31="N/A","N/A",C31="No",0)</f>
        <v>1</v>
      </c>
      <c r="E31" s="8" t="s">
        <v>39</v>
      </c>
    </row>
    <row r="32" customFormat="false" ht="30" hidden="false" customHeight="true" outlineLevel="0" collapsed="false">
      <c r="A32" s="5" t="n">
        <v>21</v>
      </c>
      <c r="B32" s="8" t="s">
        <v>63</v>
      </c>
      <c r="C32" s="5" t="s">
        <v>38</v>
      </c>
      <c r="D32" s="5" t="n">
        <f aca="false">_xlfn.IFS(C32="Yes",1,C32="Partial",0.5,C32="N/A","N/A",C32="No",0)</f>
        <v>1</v>
      </c>
      <c r="E32" s="8" t="s">
        <v>39</v>
      </c>
    </row>
    <row r="33" customFormat="false" ht="30" hidden="false" customHeight="true" outlineLevel="0" collapsed="false">
      <c r="A33" s="5" t="n">
        <v>22</v>
      </c>
      <c r="B33" s="8" t="s">
        <v>64</v>
      </c>
      <c r="C33" s="5" t="s">
        <v>131</v>
      </c>
      <c r="D33" s="5" t="n">
        <f aca="false">_xlfn.IFS(C33="Yes",1,C33="Partial",0.5,C33="N/A","N/A",C33="No",0)</f>
        <v>0.5</v>
      </c>
      <c r="E33" s="8" t="s">
        <v>132</v>
      </c>
    </row>
    <row r="34" customFormat="false" ht="30" hidden="false" customHeight="true" outlineLevel="0" collapsed="false">
      <c r="A34" s="5" t="n">
        <v>23</v>
      </c>
      <c r="B34" s="8" t="s">
        <v>65</v>
      </c>
      <c r="C34" s="5" t="s">
        <v>38</v>
      </c>
      <c r="D34" s="5" t="n">
        <f aca="false">_xlfn.IFS(C34="Yes",1,C34="Partial",0.5,C34="N/A","N/A",C34="No",0)</f>
        <v>1</v>
      </c>
      <c r="E34" s="8" t="s">
        <v>39</v>
      </c>
    </row>
    <row r="35" customFormat="false" ht="30" hidden="false" customHeight="true" outlineLevel="0" collapsed="false">
      <c r="A35" s="5" t="n">
        <v>24</v>
      </c>
      <c r="B35" s="8" t="s">
        <v>66</v>
      </c>
      <c r="C35" s="5" t="s">
        <v>38</v>
      </c>
      <c r="D35" s="5" t="n">
        <f aca="false">_xlfn.IFS(C35="Yes",1,C35="Partial",0.5,C35="N/A","N/A",C35="No",0)</f>
        <v>1</v>
      </c>
      <c r="E35" s="8" t="s">
        <v>39</v>
      </c>
    </row>
    <row r="36" customFormat="false" ht="30" hidden="false" customHeight="true" outlineLevel="0" collapsed="false">
      <c r="A36" s="5" t="n">
        <v>25</v>
      </c>
      <c r="B36" s="8" t="s">
        <v>67</v>
      </c>
      <c r="C36" s="5" t="s">
        <v>131</v>
      </c>
      <c r="D36" s="5" t="n">
        <f aca="false">_xlfn.IFS(C36="Yes",1,C36="Partial",0.5,C36="N/A","N/A",C36="No",0)</f>
        <v>0.5</v>
      </c>
      <c r="E36" s="8" t="s">
        <v>132</v>
      </c>
    </row>
    <row r="37" customFormat="false" ht="30" hidden="false" customHeight="true" outlineLevel="0" collapsed="false">
      <c r="A37" s="5" t="n">
        <v>26</v>
      </c>
      <c r="B37" s="8" t="s">
        <v>68</v>
      </c>
      <c r="C37" s="5" t="s">
        <v>131</v>
      </c>
      <c r="D37" s="5" t="n">
        <f aca="false">_xlfn.IFS(C37="Yes",1,C37="Partial",0.5,C37="N/A","N/A",C37="No",0)</f>
        <v>0.5</v>
      </c>
      <c r="E37" s="8" t="s">
        <v>132</v>
      </c>
    </row>
    <row r="38" customFormat="false" ht="30" hidden="false" customHeight="true" outlineLevel="0" collapsed="false">
      <c r="A38" s="5" t="n">
        <v>27</v>
      </c>
      <c r="B38" s="8" t="s">
        <v>69</v>
      </c>
      <c r="C38" s="5" t="s">
        <v>131</v>
      </c>
      <c r="D38" s="5" t="n">
        <f aca="false">_xlfn.IFS(C38="Yes",1,C38="Partial",0.5,C38="N/A","N/A",C38="No",0)</f>
        <v>0.5</v>
      </c>
      <c r="E38" s="8" t="s">
        <v>132</v>
      </c>
    </row>
    <row r="39" customFormat="false" ht="15" hidden="false" customHeight="true" outlineLevel="0" collapsed="false">
      <c r="A39" s="9"/>
      <c r="B39" s="10" t="s">
        <v>70</v>
      </c>
      <c r="C39" s="10"/>
      <c r="D39" s="11" t="n">
        <f aca="false">IFERROR(AVERAGEIF(D30:D38,"&lt;&gt;N/A",D30:D38),0)</f>
        <v>0.777777777777778</v>
      </c>
      <c r="E39" s="9"/>
    </row>
    <row r="41" customFormat="false" ht="15" hidden="false" customHeight="true" outlineLevel="0" collapsed="false">
      <c r="A41" s="7" t="s">
        <v>71</v>
      </c>
      <c r="B41" s="7"/>
      <c r="C41" s="7"/>
      <c r="D41" s="7"/>
      <c r="E41" s="7"/>
    </row>
    <row r="42" customFormat="false" ht="30" hidden="false" customHeight="true" outlineLevel="0" collapsed="false">
      <c r="A42" s="5" t="n">
        <v>28</v>
      </c>
      <c r="B42" s="8" t="s">
        <v>72</v>
      </c>
      <c r="C42" s="5" t="s">
        <v>38</v>
      </c>
      <c r="D42" s="5" t="n">
        <f aca="false">_xlfn.IFS(C42="Yes",1,C42="Partial",0.5,C42="N/A","N/A",C42="No",0)</f>
        <v>1</v>
      </c>
      <c r="E42" s="8" t="s">
        <v>39</v>
      </c>
    </row>
    <row r="43" customFormat="false" ht="30" hidden="false" customHeight="true" outlineLevel="0" collapsed="false">
      <c r="A43" s="5" t="n">
        <v>29</v>
      </c>
      <c r="B43" s="8" t="s">
        <v>73</v>
      </c>
      <c r="C43" s="5" t="s">
        <v>38</v>
      </c>
      <c r="D43" s="5" t="n">
        <f aca="false">_xlfn.IFS(C43="Yes",1,C43="Partial",0.5,C43="N/A","N/A",C43="No",0)</f>
        <v>1</v>
      </c>
      <c r="E43" s="8" t="s">
        <v>39</v>
      </c>
    </row>
    <row r="44" customFormat="false" ht="30" hidden="false" customHeight="true" outlineLevel="0" collapsed="false">
      <c r="A44" s="5" t="n">
        <v>30</v>
      </c>
      <c r="B44" s="8" t="s">
        <v>74</v>
      </c>
      <c r="C44" s="5" t="s">
        <v>131</v>
      </c>
      <c r="D44" s="5" t="n">
        <f aca="false">_xlfn.IFS(C44="Yes",1,C44="Partial",0.5,C44="N/A","N/A",C44="No",0)</f>
        <v>0.5</v>
      </c>
      <c r="E44" s="8" t="s">
        <v>132</v>
      </c>
    </row>
    <row r="45" customFormat="false" ht="30" hidden="false" customHeight="true" outlineLevel="0" collapsed="false">
      <c r="A45" s="5" t="n">
        <v>31</v>
      </c>
      <c r="B45" s="8" t="s">
        <v>75</v>
      </c>
      <c r="C45" s="5" t="s">
        <v>38</v>
      </c>
      <c r="D45" s="5" t="n">
        <f aca="false">_xlfn.IFS(C45="Yes",1,C45="Partial",0.5,C45="N/A","N/A",C45="No",0)</f>
        <v>1</v>
      </c>
      <c r="E45" s="8" t="s">
        <v>39</v>
      </c>
    </row>
    <row r="46" customFormat="false" ht="30" hidden="false" customHeight="true" outlineLevel="0" collapsed="false">
      <c r="A46" s="5" t="n">
        <v>32</v>
      </c>
      <c r="B46" s="8" t="s">
        <v>76</v>
      </c>
      <c r="C46" s="5" t="s">
        <v>38</v>
      </c>
      <c r="D46" s="5" t="n">
        <f aca="false">_xlfn.IFS(C46="Yes",1,C46="Partial",0.5,C46="N/A","N/A",C46="No",0)</f>
        <v>1</v>
      </c>
      <c r="E46" s="8" t="s">
        <v>39</v>
      </c>
    </row>
    <row r="47" customFormat="false" ht="30" hidden="false" customHeight="true" outlineLevel="0" collapsed="false">
      <c r="A47" s="5" t="n">
        <v>33</v>
      </c>
      <c r="B47" s="8" t="s">
        <v>77</v>
      </c>
      <c r="C47" s="5" t="s">
        <v>131</v>
      </c>
      <c r="D47" s="5" t="n">
        <f aca="false">_xlfn.IFS(C47="Yes",1,C47="Partial",0.5,C47="N/A","N/A",C47="No",0)</f>
        <v>0.5</v>
      </c>
      <c r="E47" s="8" t="s">
        <v>132</v>
      </c>
    </row>
    <row r="48" customFormat="false" ht="30" hidden="false" customHeight="true" outlineLevel="0" collapsed="false">
      <c r="A48" s="5" t="n">
        <v>34</v>
      </c>
      <c r="B48" s="8" t="s">
        <v>78</v>
      </c>
      <c r="C48" s="5" t="s">
        <v>38</v>
      </c>
      <c r="D48" s="5" t="n">
        <f aca="false">_xlfn.IFS(C48="Yes",1,C48="Partial",0.5,C48="N/A","N/A",C48="No",0)</f>
        <v>1</v>
      </c>
      <c r="E48" s="8" t="s">
        <v>39</v>
      </c>
    </row>
    <row r="49" customFormat="false" ht="30" hidden="false" customHeight="true" outlineLevel="0" collapsed="false">
      <c r="A49" s="5" t="n">
        <v>35</v>
      </c>
      <c r="B49" s="8" t="s">
        <v>79</v>
      </c>
      <c r="C49" s="5" t="s">
        <v>131</v>
      </c>
      <c r="D49" s="5" t="n">
        <f aca="false">_xlfn.IFS(C49="Yes",1,C49="Partial",0.5,C49="N/A","N/A",C49="No",0)</f>
        <v>0.5</v>
      </c>
      <c r="E49" s="8" t="s">
        <v>132</v>
      </c>
    </row>
    <row r="50" customFormat="false" ht="30" hidden="false" customHeight="true" outlineLevel="0" collapsed="false">
      <c r="A50" s="5" t="n">
        <v>36</v>
      </c>
      <c r="B50" s="8" t="s">
        <v>80</v>
      </c>
      <c r="C50" s="5" t="s">
        <v>38</v>
      </c>
      <c r="D50" s="5" t="n">
        <f aca="false">_xlfn.IFS(C50="Yes",1,C50="Partial",0.5,C50="N/A","N/A",C50="No",0)</f>
        <v>1</v>
      </c>
      <c r="E50" s="8" t="s">
        <v>39</v>
      </c>
    </row>
    <row r="51" customFormat="false" ht="15" hidden="false" customHeight="true" outlineLevel="0" collapsed="false">
      <c r="A51" s="9"/>
      <c r="B51" s="10" t="s">
        <v>81</v>
      </c>
      <c r="C51" s="10"/>
      <c r="D51" s="11" t="n">
        <f aca="false">IFERROR(AVERAGEIF(D42:D50,"&lt;&gt;N/A",D42:D50),0)</f>
        <v>0.833333333333333</v>
      </c>
      <c r="E51" s="9"/>
    </row>
    <row r="53" customFormat="false" ht="15" hidden="false" customHeight="true" outlineLevel="0" collapsed="false">
      <c r="A53" s="7" t="s">
        <v>82</v>
      </c>
      <c r="B53" s="7"/>
      <c r="C53" s="7"/>
      <c r="D53" s="7"/>
      <c r="E53" s="7"/>
    </row>
    <row r="54" customFormat="false" ht="30" hidden="false" customHeight="true" outlineLevel="0" collapsed="false">
      <c r="A54" s="5" t="n">
        <v>37</v>
      </c>
      <c r="B54" s="8" t="s">
        <v>83</v>
      </c>
      <c r="C54" s="5" t="s">
        <v>38</v>
      </c>
      <c r="D54" s="5" t="n">
        <f aca="false">_xlfn.IFS(C54="Yes",1,C54="Partial",0.5,C54="N/A","N/A",C54="No",0)</f>
        <v>1</v>
      </c>
      <c r="E54" s="8" t="s">
        <v>39</v>
      </c>
    </row>
    <row r="55" customFormat="false" ht="30" hidden="false" customHeight="true" outlineLevel="0" collapsed="false">
      <c r="A55" s="5" t="n">
        <v>38</v>
      </c>
      <c r="B55" s="8" t="s">
        <v>84</v>
      </c>
      <c r="C55" s="5" t="s">
        <v>38</v>
      </c>
      <c r="D55" s="5" t="n">
        <f aca="false">_xlfn.IFS(C55="Yes",1,C55="Partial",0.5,C55="N/A","N/A",C55="No",0)</f>
        <v>1</v>
      </c>
      <c r="E55" s="8" t="s">
        <v>39</v>
      </c>
    </row>
    <row r="56" customFormat="false" ht="30" hidden="false" customHeight="true" outlineLevel="0" collapsed="false">
      <c r="A56" s="5" t="n">
        <v>39</v>
      </c>
      <c r="B56" s="8" t="s">
        <v>85</v>
      </c>
      <c r="C56" s="5" t="s">
        <v>131</v>
      </c>
      <c r="D56" s="5" t="n">
        <f aca="false">_xlfn.IFS(C56="Yes",1,C56="Partial",0.5,C56="N/A","N/A",C56="No",0)</f>
        <v>0.5</v>
      </c>
      <c r="E56" s="8" t="s">
        <v>132</v>
      </c>
    </row>
    <row r="57" customFormat="false" ht="30" hidden="false" customHeight="true" outlineLevel="0" collapsed="false">
      <c r="A57" s="5" t="n">
        <v>40</v>
      </c>
      <c r="B57" s="8" t="s">
        <v>86</v>
      </c>
      <c r="C57" s="5" t="s">
        <v>38</v>
      </c>
      <c r="D57" s="5" t="n">
        <f aca="false">_xlfn.IFS(C57="Yes",1,C57="Partial",0.5,C57="N/A","N/A",C57="No",0)</f>
        <v>1</v>
      </c>
      <c r="E57" s="8" t="s">
        <v>39</v>
      </c>
    </row>
    <row r="58" customFormat="false" ht="30" hidden="false" customHeight="true" outlineLevel="0" collapsed="false">
      <c r="A58" s="5" t="n">
        <v>41</v>
      </c>
      <c r="B58" s="8" t="s">
        <v>87</v>
      </c>
      <c r="C58" s="5" t="s">
        <v>38</v>
      </c>
      <c r="D58" s="5" t="n">
        <f aca="false">_xlfn.IFS(C58="Yes",1,C58="Partial",0.5,C58="N/A","N/A",C58="No",0)</f>
        <v>1</v>
      </c>
      <c r="E58" s="8" t="s">
        <v>39</v>
      </c>
    </row>
    <row r="59" customFormat="false" ht="30" hidden="false" customHeight="true" outlineLevel="0" collapsed="false">
      <c r="A59" s="5" t="n">
        <v>42</v>
      </c>
      <c r="B59" s="8" t="s">
        <v>88</v>
      </c>
      <c r="C59" s="5" t="s">
        <v>38</v>
      </c>
      <c r="D59" s="5" t="n">
        <f aca="false">_xlfn.IFS(C59="Yes",1,C59="Partial",0.5,C59="N/A","N/A",C59="No",0)</f>
        <v>1</v>
      </c>
      <c r="E59" s="8" t="s">
        <v>39</v>
      </c>
    </row>
    <row r="60" customFormat="false" ht="30" hidden="false" customHeight="true" outlineLevel="0" collapsed="false">
      <c r="A60" s="5" t="n">
        <v>43</v>
      </c>
      <c r="B60" s="8" t="s">
        <v>89</v>
      </c>
      <c r="C60" s="5" t="s">
        <v>131</v>
      </c>
      <c r="D60" s="5" t="n">
        <f aca="false">_xlfn.IFS(C60="Yes",1,C60="Partial",0.5,C60="N/A","N/A",C60="No",0)</f>
        <v>0.5</v>
      </c>
      <c r="E60" s="8" t="s">
        <v>132</v>
      </c>
    </row>
    <row r="61" customFormat="false" ht="30" hidden="false" customHeight="true" outlineLevel="0" collapsed="false">
      <c r="A61" s="5" t="n">
        <v>44</v>
      </c>
      <c r="B61" s="8" t="s">
        <v>90</v>
      </c>
      <c r="C61" s="5" t="s">
        <v>38</v>
      </c>
      <c r="D61" s="5" t="n">
        <f aca="false">_xlfn.IFS(C61="Yes",1,C61="Partial",0.5,C61="N/A","N/A",C61="No",0)</f>
        <v>1</v>
      </c>
      <c r="E61" s="8" t="s">
        <v>39</v>
      </c>
    </row>
    <row r="62" customFormat="false" ht="30" hidden="false" customHeight="true" outlineLevel="0" collapsed="false">
      <c r="A62" s="5" t="n">
        <v>45</v>
      </c>
      <c r="B62" s="8" t="s">
        <v>91</v>
      </c>
      <c r="C62" s="5" t="s">
        <v>131</v>
      </c>
      <c r="D62" s="5" t="n">
        <f aca="false">_xlfn.IFS(C62="Yes",1,C62="Partial",0.5,C62="N/A","N/A",C62="No",0)</f>
        <v>0.5</v>
      </c>
      <c r="E62" s="8" t="s">
        <v>132</v>
      </c>
    </row>
    <row r="63" customFormat="false" ht="15" hidden="false" customHeight="true" outlineLevel="0" collapsed="false">
      <c r="A63" s="9"/>
      <c r="B63" s="10" t="s">
        <v>92</v>
      </c>
      <c r="C63" s="10"/>
      <c r="D63" s="11" t="n">
        <f aca="false">IFERROR(AVERAGEIF(D54:D62,"&lt;&gt;N/A",D54:D62),0)</f>
        <v>0.833333333333333</v>
      </c>
      <c r="E63" s="9"/>
    </row>
    <row r="65" customFormat="false" ht="15" hidden="false" customHeight="true" outlineLevel="0" collapsed="false">
      <c r="A65" s="7" t="s">
        <v>93</v>
      </c>
      <c r="B65" s="7"/>
      <c r="C65" s="7"/>
      <c r="D65" s="7"/>
      <c r="E65" s="7"/>
    </row>
    <row r="66" customFormat="false" ht="30" hidden="false" customHeight="true" outlineLevel="0" collapsed="false">
      <c r="A66" s="5" t="n">
        <v>46</v>
      </c>
      <c r="B66" s="8" t="s">
        <v>94</v>
      </c>
      <c r="C66" s="5" t="s">
        <v>38</v>
      </c>
      <c r="D66" s="5" t="n">
        <f aca="false">_xlfn.IFS(C66="Yes",1,C66="Partial",0.5,C66="N/A","N/A",C66="No",0)</f>
        <v>1</v>
      </c>
      <c r="E66" s="8" t="s">
        <v>39</v>
      </c>
    </row>
    <row r="67" customFormat="false" ht="30" hidden="false" customHeight="true" outlineLevel="0" collapsed="false">
      <c r="A67" s="5" t="n">
        <v>47</v>
      </c>
      <c r="B67" s="8" t="s">
        <v>95</v>
      </c>
      <c r="C67" s="5" t="s">
        <v>131</v>
      </c>
      <c r="D67" s="5" t="n">
        <f aca="false">_xlfn.IFS(C67="Yes",1,C67="Partial",0.5,C67="N/A","N/A",C67="No",0)</f>
        <v>0.5</v>
      </c>
      <c r="E67" s="8" t="s">
        <v>132</v>
      </c>
    </row>
    <row r="68" customFormat="false" ht="30" hidden="false" customHeight="true" outlineLevel="0" collapsed="false">
      <c r="A68" s="5" t="n">
        <v>48</v>
      </c>
      <c r="B68" s="8" t="s">
        <v>96</v>
      </c>
      <c r="C68" s="5" t="s">
        <v>38</v>
      </c>
      <c r="D68" s="5" t="n">
        <f aca="false">_xlfn.IFS(C68="Yes",1,C68="Partial",0.5,C68="N/A","N/A",C68="No",0)</f>
        <v>1</v>
      </c>
      <c r="E68" s="8" t="s">
        <v>39</v>
      </c>
    </row>
    <row r="69" customFormat="false" ht="30" hidden="false" customHeight="true" outlineLevel="0" collapsed="false">
      <c r="A69" s="5" t="n">
        <v>49</v>
      </c>
      <c r="B69" s="8" t="s">
        <v>97</v>
      </c>
      <c r="C69" s="5" t="s">
        <v>38</v>
      </c>
      <c r="D69" s="5" t="n">
        <f aca="false">_xlfn.IFS(C69="Yes",1,C69="Partial",0.5,C69="N/A","N/A",C69="No",0)</f>
        <v>1</v>
      </c>
      <c r="E69" s="8" t="s">
        <v>39</v>
      </c>
    </row>
    <row r="70" customFormat="false" ht="30" hidden="false" customHeight="true" outlineLevel="0" collapsed="false">
      <c r="A70" s="5" t="n">
        <v>50</v>
      </c>
      <c r="B70" s="8" t="s">
        <v>98</v>
      </c>
      <c r="C70" s="5" t="s">
        <v>131</v>
      </c>
      <c r="D70" s="5" t="n">
        <f aca="false">_xlfn.IFS(C70="Yes",1,C70="Partial",0.5,C70="N/A","N/A",C70="No",0)</f>
        <v>0.5</v>
      </c>
      <c r="E70" s="8" t="s">
        <v>132</v>
      </c>
    </row>
    <row r="71" customFormat="false" ht="30" hidden="false" customHeight="true" outlineLevel="0" collapsed="false">
      <c r="A71" s="5" t="n">
        <v>51</v>
      </c>
      <c r="B71" s="8" t="s">
        <v>99</v>
      </c>
      <c r="C71" s="5" t="s">
        <v>131</v>
      </c>
      <c r="D71" s="5" t="n">
        <f aca="false">_xlfn.IFS(C71="Yes",1,C71="Partial",0.5,C71="N/A","N/A",C71="No",0)</f>
        <v>0.5</v>
      </c>
      <c r="E71" s="8" t="s">
        <v>132</v>
      </c>
    </row>
    <row r="72" customFormat="false" ht="30" hidden="false" customHeight="true" outlineLevel="0" collapsed="false">
      <c r="A72" s="5" t="n">
        <v>52</v>
      </c>
      <c r="B72" s="8" t="s">
        <v>100</v>
      </c>
      <c r="C72" s="5" t="s">
        <v>38</v>
      </c>
      <c r="D72" s="5" t="n">
        <f aca="false">_xlfn.IFS(C72="Yes",1,C72="Partial",0.5,C72="N/A","N/A",C72="No",0)</f>
        <v>1</v>
      </c>
      <c r="E72" s="8" t="s">
        <v>39</v>
      </c>
    </row>
    <row r="73" customFormat="false" ht="30" hidden="false" customHeight="true" outlineLevel="0" collapsed="false">
      <c r="A73" s="5" t="n">
        <v>53</v>
      </c>
      <c r="B73" s="8" t="s">
        <v>101</v>
      </c>
      <c r="C73" s="5" t="s">
        <v>38</v>
      </c>
      <c r="D73" s="5" t="n">
        <f aca="false">_xlfn.IFS(C73="Yes",1,C73="Partial",0.5,C73="N/A","N/A",C73="No",0)</f>
        <v>1</v>
      </c>
      <c r="E73" s="8" t="s">
        <v>39</v>
      </c>
    </row>
    <row r="74" customFormat="false" ht="30" hidden="false" customHeight="true" outlineLevel="0" collapsed="false">
      <c r="A74" s="5" t="n">
        <v>54</v>
      </c>
      <c r="B74" s="8" t="s">
        <v>102</v>
      </c>
      <c r="C74" s="5" t="s">
        <v>38</v>
      </c>
      <c r="D74" s="5" t="n">
        <f aca="false">_xlfn.IFS(C74="Yes",1,C74="Partial",0.5,C74="N/A","N/A",C74="No",0)</f>
        <v>1</v>
      </c>
      <c r="E74" s="8" t="s">
        <v>39</v>
      </c>
    </row>
    <row r="75" customFormat="false" ht="15" hidden="false" customHeight="true" outlineLevel="0" collapsed="false">
      <c r="A75" s="9"/>
      <c r="B75" s="10" t="s">
        <v>103</v>
      </c>
      <c r="C75" s="10"/>
      <c r="D75" s="11" t="n">
        <f aca="false">IFERROR(AVERAGEIF(D66:D74,"&lt;&gt;N/A",D66:D74),0)</f>
        <v>0.833333333333333</v>
      </c>
      <c r="E75" s="9"/>
    </row>
    <row r="77" customFormat="false" ht="15" hidden="false" customHeight="true" outlineLevel="0" collapsed="false">
      <c r="A77" s="7" t="s">
        <v>104</v>
      </c>
      <c r="B77" s="7"/>
      <c r="C77" s="7"/>
      <c r="D77" s="7"/>
      <c r="E77" s="7"/>
    </row>
    <row r="78" customFormat="false" ht="30" hidden="false" customHeight="true" outlineLevel="0" collapsed="false">
      <c r="A78" s="5" t="n">
        <v>55</v>
      </c>
      <c r="B78" s="8" t="s">
        <v>105</v>
      </c>
      <c r="C78" s="5" t="s">
        <v>131</v>
      </c>
      <c r="D78" s="5" t="n">
        <f aca="false">_xlfn.IFS(C78="Yes",1,C78="Partial",0.5,C78="N/A","N/A",C78="No",0)</f>
        <v>0.5</v>
      </c>
      <c r="E78" s="8" t="s">
        <v>132</v>
      </c>
    </row>
    <row r="79" customFormat="false" ht="30" hidden="false" customHeight="true" outlineLevel="0" collapsed="false">
      <c r="A79" s="5" t="n">
        <v>56</v>
      </c>
      <c r="B79" s="8" t="s">
        <v>106</v>
      </c>
      <c r="C79" s="5" t="s">
        <v>139</v>
      </c>
      <c r="D79" s="5" t="n">
        <f aca="false">_xlfn.IFS(C79="Yes",1,C79="Partial",0.5,C79="N/A","N/A",C79="No",0)</f>
        <v>0</v>
      </c>
      <c r="E79" s="8" t="s">
        <v>140</v>
      </c>
    </row>
    <row r="80" customFormat="false" ht="30" hidden="false" customHeight="true" outlineLevel="0" collapsed="false">
      <c r="A80" s="5" t="n">
        <v>57</v>
      </c>
      <c r="B80" s="8" t="s">
        <v>107</v>
      </c>
      <c r="C80" s="5" t="s">
        <v>108</v>
      </c>
      <c r="D80" s="5" t="str">
        <f aca="false">_xlfn.IFS(C80="Yes",1,C80="Partial",0.5,C80="N/A","N/A",C80="No",0)</f>
        <v>N/A</v>
      </c>
      <c r="E80" s="8" t="s">
        <v>109</v>
      </c>
    </row>
    <row r="81" customFormat="false" ht="30" hidden="false" customHeight="true" outlineLevel="0" collapsed="false">
      <c r="A81" s="5" t="n">
        <v>58</v>
      </c>
      <c r="B81" s="8" t="s">
        <v>110</v>
      </c>
      <c r="C81" s="5" t="s">
        <v>38</v>
      </c>
      <c r="D81" s="5" t="n">
        <f aca="false">_xlfn.IFS(C81="Yes",1,C81="Partial",0.5,C81="N/A","N/A",C81="No",0)</f>
        <v>1</v>
      </c>
      <c r="E81" s="8" t="s">
        <v>39</v>
      </c>
    </row>
    <row r="82" customFormat="false" ht="30" hidden="false" customHeight="true" outlineLevel="0" collapsed="false">
      <c r="A82" s="5" t="n">
        <v>59</v>
      </c>
      <c r="B82" s="8" t="s">
        <v>111</v>
      </c>
      <c r="C82" s="5" t="s">
        <v>38</v>
      </c>
      <c r="D82" s="5" t="n">
        <f aca="false">_xlfn.IFS(C82="Yes",1,C82="Partial",0.5,C82="N/A","N/A",C82="No",0)</f>
        <v>1</v>
      </c>
      <c r="E82" s="8" t="s">
        <v>39</v>
      </c>
    </row>
    <row r="83" customFormat="false" ht="30" hidden="false" customHeight="true" outlineLevel="0" collapsed="false">
      <c r="A83" s="5" t="n">
        <v>60</v>
      </c>
      <c r="B83" s="8" t="s">
        <v>112</v>
      </c>
      <c r="C83" s="5" t="s">
        <v>131</v>
      </c>
      <c r="D83" s="5" t="n">
        <f aca="false">_xlfn.IFS(C83="Yes",1,C83="Partial",0.5,C83="N/A","N/A",C83="No",0)</f>
        <v>0.5</v>
      </c>
      <c r="E83" s="8" t="s">
        <v>132</v>
      </c>
    </row>
    <row r="84" customFormat="false" ht="30" hidden="false" customHeight="true" outlineLevel="0" collapsed="false">
      <c r="A84" s="5" t="n">
        <v>61</v>
      </c>
      <c r="B84" s="8" t="s">
        <v>113</v>
      </c>
      <c r="C84" s="5" t="s">
        <v>131</v>
      </c>
      <c r="D84" s="5" t="n">
        <f aca="false">_xlfn.IFS(C84="Yes",1,C84="Partial",0.5,C84="N/A","N/A",C84="No",0)</f>
        <v>0.5</v>
      </c>
      <c r="E84" s="8" t="s">
        <v>132</v>
      </c>
    </row>
    <row r="85" customFormat="false" ht="30" hidden="false" customHeight="true" outlineLevel="0" collapsed="false">
      <c r="A85" s="5" t="n">
        <v>62</v>
      </c>
      <c r="B85" s="8" t="s">
        <v>114</v>
      </c>
      <c r="C85" s="5" t="s">
        <v>131</v>
      </c>
      <c r="D85" s="5" t="n">
        <f aca="false">_xlfn.IFS(C85="Yes",1,C85="Partial",0.5,C85="N/A","N/A",C85="No",0)</f>
        <v>0.5</v>
      </c>
      <c r="E85" s="8" t="s">
        <v>132</v>
      </c>
    </row>
    <row r="86" customFormat="false" ht="30" hidden="false" customHeight="true" outlineLevel="0" collapsed="false">
      <c r="A86" s="5" t="n">
        <v>63</v>
      </c>
      <c r="B86" s="8" t="s">
        <v>115</v>
      </c>
      <c r="C86" s="5" t="s">
        <v>131</v>
      </c>
      <c r="D86" s="5" t="n">
        <f aca="false">_xlfn.IFS(C86="Yes",1,C86="Partial",0.5,C86="N/A","N/A",C86="No",0)</f>
        <v>0.5</v>
      </c>
      <c r="E86" s="8" t="s">
        <v>132</v>
      </c>
    </row>
    <row r="87" customFormat="false" ht="15" hidden="false" customHeight="true" outlineLevel="0" collapsed="false">
      <c r="A87" s="9"/>
      <c r="B87" s="10" t="s">
        <v>116</v>
      </c>
      <c r="C87" s="10"/>
      <c r="D87" s="11" t="n">
        <f aca="false">IFERROR(AVERAGEIF(D78:D86,"&lt;&gt;N/A",D78:D86),0)</f>
        <v>0.5625</v>
      </c>
      <c r="E87" s="9"/>
    </row>
    <row r="89" customFormat="false" ht="15" hidden="false" customHeight="true" outlineLevel="0" collapsed="false">
      <c r="A89" s="7" t="s">
        <v>117</v>
      </c>
      <c r="B89" s="7"/>
      <c r="C89" s="7"/>
      <c r="D89" s="7"/>
      <c r="E89" s="7"/>
    </row>
    <row r="90" customFormat="false" ht="30" hidden="false" customHeight="true" outlineLevel="0" collapsed="false">
      <c r="A90" s="5" t="n">
        <v>64</v>
      </c>
      <c r="B90" s="8" t="s">
        <v>118</v>
      </c>
      <c r="C90" s="5" t="s">
        <v>131</v>
      </c>
      <c r="D90" s="5" t="n">
        <f aca="false">_xlfn.IFS(C90="Yes",1,C90="Partial",0.5,C90="N/A","N/A",C90="No",0)</f>
        <v>0.5</v>
      </c>
      <c r="E90" s="8" t="s">
        <v>132</v>
      </c>
    </row>
    <row r="91" customFormat="false" ht="30" hidden="false" customHeight="true" outlineLevel="0" collapsed="false">
      <c r="A91" s="5" t="n">
        <v>65</v>
      </c>
      <c r="B91" s="8" t="s">
        <v>119</v>
      </c>
      <c r="C91" s="5" t="s">
        <v>131</v>
      </c>
      <c r="D91" s="5" t="n">
        <f aca="false">_xlfn.IFS(C91="Yes",1,C91="Partial",0.5,C91="N/A","N/A",C91="No",0)</f>
        <v>0.5</v>
      </c>
      <c r="E91" s="8" t="s">
        <v>132</v>
      </c>
    </row>
    <row r="92" customFormat="false" ht="30" hidden="false" customHeight="true" outlineLevel="0" collapsed="false">
      <c r="A92" s="5" t="n">
        <v>66</v>
      </c>
      <c r="B92" s="8" t="s">
        <v>120</v>
      </c>
      <c r="C92" s="5" t="s">
        <v>131</v>
      </c>
      <c r="D92" s="5" t="n">
        <f aca="false">_xlfn.IFS(C92="Yes",1,C92="Partial",0.5,C92="N/A","N/A",C92="No",0)</f>
        <v>0.5</v>
      </c>
      <c r="E92" s="8" t="s">
        <v>132</v>
      </c>
    </row>
    <row r="93" customFormat="false" ht="30" hidden="false" customHeight="true" outlineLevel="0" collapsed="false">
      <c r="A93" s="5" t="n">
        <v>67</v>
      </c>
      <c r="B93" s="8" t="s">
        <v>121</v>
      </c>
      <c r="C93" s="5" t="s">
        <v>131</v>
      </c>
      <c r="D93" s="5" t="n">
        <f aca="false">_xlfn.IFS(C93="Yes",1,C93="Partial",0.5,C93="N/A","N/A",C93="No",0)</f>
        <v>0.5</v>
      </c>
      <c r="E93" s="8" t="s">
        <v>132</v>
      </c>
    </row>
    <row r="94" customFormat="false" ht="30" hidden="false" customHeight="true" outlineLevel="0" collapsed="false">
      <c r="A94" s="5" t="n">
        <v>68</v>
      </c>
      <c r="B94" s="8" t="s">
        <v>122</v>
      </c>
      <c r="C94" s="5" t="s">
        <v>38</v>
      </c>
      <c r="D94" s="5" t="n">
        <f aca="false">_xlfn.IFS(C94="Yes",1,C94="Partial",0.5,C94="N/A","N/A",C94="No",0)</f>
        <v>1</v>
      </c>
      <c r="E94" s="8" t="s">
        <v>39</v>
      </c>
    </row>
    <row r="95" customFormat="false" ht="30" hidden="false" customHeight="true" outlineLevel="0" collapsed="false">
      <c r="A95" s="5" t="n">
        <v>69</v>
      </c>
      <c r="B95" s="8" t="s">
        <v>123</v>
      </c>
      <c r="C95" s="5" t="s">
        <v>131</v>
      </c>
      <c r="D95" s="5" t="n">
        <f aca="false">_xlfn.IFS(C95="Yes",1,C95="Partial",0.5,C95="N/A","N/A",C95="No",0)</f>
        <v>0.5</v>
      </c>
      <c r="E95" s="8" t="s">
        <v>132</v>
      </c>
    </row>
    <row r="96" customFormat="false" ht="30" hidden="false" customHeight="true" outlineLevel="0" collapsed="false">
      <c r="A96" s="5" t="n">
        <v>70</v>
      </c>
      <c r="B96" s="8" t="s">
        <v>124</v>
      </c>
      <c r="C96" s="5" t="s">
        <v>131</v>
      </c>
      <c r="D96" s="5" t="n">
        <f aca="false">_xlfn.IFS(C96="Yes",1,C96="Partial",0.5,C96="N/A","N/A",C96="No",0)</f>
        <v>0.5</v>
      </c>
      <c r="E96" s="8" t="s">
        <v>132</v>
      </c>
    </row>
    <row r="97" customFormat="false" ht="30" hidden="false" customHeight="true" outlineLevel="0" collapsed="false">
      <c r="A97" s="5" t="n">
        <v>71</v>
      </c>
      <c r="B97" s="8" t="s">
        <v>125</v>
      </c>
      <c r="C97" s="5" t="s">
        <v>139</v>
      </c>
      <c r="D97" s="5" t="n">
        <f aca="false">_xlfn.IFS(C97="Yes",1,C97="Partial",0.5,C97="N/A","N/A",C97="No",0)</f>
        <v>0</v>
      </c>
      <c r="E97" s="8" t="s">
        <v>140</v>
      </c>
    </row>
    <row r="98" customFormat="false" ht="15" hidden="false" customHeight="true" outlineLevel="0" collapsed="false">
      <c r="A98" s="9"/>
      <c r="B98" s="10" t="s">
        <v>126</v>
      </c>
      <c r="C98" s="10"/>
      <c r="D98" s="11" t="n">
        <f aca="false">IFERROR(AVERAGEIF(D90:D97,"&lt;&gt;N/A",D90:D97),0)</f>
        <v>0.5</v>
      </c>
      <c r="E98" s="9"/>
    </row>
    <row r="100" customFormat="false" ht="15" hidden="false" customHeight="true" outlineLevel="0" collapsed="false">
      <c r="A100" s="12" t="s">
        <v>127</v>
      </c>
      <c r="B100" s="12"/>
      <c r="C100" s="12"/>
      <c r="D100" s="13" t="n">
        <f aca="false">AVERAGE(D15,D27,D39,D51,D63,D75,D87,D98)</f>
        <v>0.750868055555556</v>
      </c>
      <c r="E100" s="14"/>
    </row>
    <row r="101" customFormat="false" ht="23.25" hidden="false" customHeight="true" outlineLevel="0" collapsed="false">
      <c r="A101" s="12" t="s">
        <v>128</v>
      </c>
      <c r="B101" s="12"/>
      <c r="C101" s="12"/>
      <c r="D101" s="15" t="str">
        <f aca="false">_xlfn.IFS(D100&gt;=0.85,"Low Risk",D100&gt;=0.65,"Medium Risk",D100&gt;=0.45,"High Risk",D100&lt;0.45,"Critical Risk")</f>
        <v>Medium Risk</v>
      </c>
      <c r="E101" s="14"/>
    </row>
  </sheetData>
  <mergeCells count="18">
    <mergeCell ref="A5:E5"/>
    <mergeCell ref="B15:C15"/>
    <mergeCell ref="A17:E17"/>
    <mergeCell ref="B27:C27"/>
    <mergeCell ref="A29:E29"/>
    <mergeCell ref="B39:C39"/>
    <mergeCell ref="A41:E41"/>
    <mergeCell ref="B51:C51"/>
    <mergeCell ref="A53:E53"/>
    <mergeCell ref="B63:C63"/>
    <mergeCell ref="A65:E65"/>
    <mergeCell ref="B75:C75"/>
    <mergeCell ref="A77:E77"/>
    <mergeCell ref="B87:C87"/>
    <mergeCell ref="A89:E89"/>
    <mergeCell ref="B98:C98"/>
    <mergeCell ref="A100:C100"/>
    <mergeCell ref="A101:C101"/>
  </mergeCells>
  <conditionalFormatting sqref="C5:C98">
    <cfRule type="cellIs" priority="2" operator="equal" aboveAverage="0" equalAverage="0" bottom="0" percent="0" rank="0" text="" dxfId="3">
      <formula>"Yes"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1">
      <formula>"No"</formula>
    </cfRule>
  </conditionalFormatting>
  <conditionalFormatting sqref="D101">
    <cfRule type="cellIs" priority="5" operator="equal" aboveAverage="0" equalAverage="0" bottom="0" percent="0" rank="0" text="" dxfId="0">
      <formula>"Critical Risk"</formula>
    </cfRule>
    <cfRule type="cellIs" priority="6" operator="equal" aboveAverage="0" equalAverage="0" bottom="0" percent="0" rank="0" text="" dxfId="1">
      <formula>"High Risk"</formula>
    </cfRule>
    <cfRule type="cellIs" priority="7" operator="equal" aboveAverage="0" equalAverage="0" bottom="0" percent="0" rank="0" text="" dxfId="2">
      <formula>"Medium Risk"</formula>
    </cfRule>
    <cfRule type="cellIs" priority="8" operator="equal" aboveAverage="0" equalAverage="0" bottom="0" percent="0" rank="0" text="" dxfId="3">
      <formula>"Low Risk"</formula>
    </cfRule>
  </conditionalFormatting>
  <dataValidations count="1">
    <dataValidation allowBlank="false" errorStyle="stop" operator="between" showDropDown="false" showErrorMessage="false" showInputMessage="false" sqref="C5:C98" type="list">
      <formula1>"Yes,Partial,No,N/A"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52"/>
    <col collapsed="false" customWidth="true" hidden="false" outlineLevel="0" max="5" min="5" style="1" width="48"/>
  </cols>
  <sheetData>
    <row r="1" customFormat="false" ht="17.25" hidden="false" customHeight="true" outlineLevel="0" collapsed="false">
      <c r="A1" s="2" t="s">
        <v>144</v>
      </c>
    </row>
    <row r="2" customFormat="false" ht="15" hidden="false" customHeight="true" outlineLevel="0" collapsed="false">
      <c r="A2" s="3" t="s">
        <v>145</v>
      </c>
    </row>
    <row r="4" customFormat="false" ht="23.25" hidden="false" customHeight="true" outlineLevel="0" collapsed="false">
      <c r="A4" s="16" t="s">
        <v>5</v>
      </c>
      <c r="B4" s="16" t="s">
        <v>6</v>
      </c>
      <c r="C4" s="16" t="s">
        <v>146</v>
      </c>
      <c r="D4" s="16" t="s">
        <v>147</v>
      </c>
    </row>
    <row r="5" customFormat="false" ht="57" hidden="false" customHeight="true" outlineLevel="0" collapsed="false">
      <c r="A5" s="17" t="s">
        <v>148</v>
      </c>
      <c r="B5" s="18" t="s">
        <v>149</v>
      </c>
      <c r="C5" s="17" t="s">
        <v>150</v>
      </c>
      <c r="D5" s="17" t="s">
        <v>151</v>
      </c>
    </row>
    <row r="6" customFormat="false" ht="68.25" hidden="false" customHeight="true" outlineLevel="0" collapsed="false">
      <c r="A6" s="17" t="s">
        <v>152</v>
      </c>
      <c r="B6" s="19" t="s">
        <v>153</v>
      </c>
      <c r="C6" s="17" t="s">
        <v>154</v>
      </c>
      <c r="D6" s="17" t="s">
        <v>155</v>
      </c>
    </row>
    <row r="7" customFormat="false" ht="57" hidden="false" customHeight="true" outlineLevel="0" collapsed="false">
      <c r="A7" s="17" t="s">
        <v>156</v>
      </c>
      <c r="B7" s="20" t="s">
        <v>157</v>
      </c>
      <c r="C7" s="17" t="s">
        <v>158</v>
      </c>
      <c r="D7" s="17" t="s">
        <v>159</v>
      </c>
    </row>
    <row r="8" customFormat="false" ht="79.5" hidden="false" customHeight="true" outlineLevel="0" collapsed="false">
      <c r="A8" s="17" t="s">
        <v>160</v>
      </c>
      <c r="B8" s="21" t="s">
        <v>161</v>
      </c>
      <c r="C8" s="17" t="s">
        <v>162</v>
      </c>
      <c r="D8" s="17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2026-08-09T19:54:32Z</dcterms:created>
  <dc:creator>openpyxl</dc:creator>
  <dc:description/>
  <dc:language>en-US</dc:language>
  <cp:lastModifiedBy/>
  <dcterms:modified xsi:type="dcterms:W3CDTF">2026-08-09T19:55:03Z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
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AM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<sst xmlns="http://schemas.openxmlformats.org/spreadsheetml/2006/main" count="172" uniqueCount="129">
  <si>
    <t xml:space="preserve">Meridian Pay Solutions — Plan of Action &amp; Milestones (POA&amp;M)</t>
  </si>
  <si>
    <t xml:space="preserve">Remediation roadmap tied to Risk Register findings | Fictional Case Study for Portfolio Purposes | Last Updated: 2026-Q1</t>
  </si>
  <si>
    <t xml:space="preserve">POAM ID</t>
  </si>
  <si>
    <t xml:space="preserve">Related Risk ID(s)</t>
  </si>
  <si>
    <t xml:space="preserve">NIST CSF Function</t>
  </si>
  <si>
    <t xml:space="preserve">Weakness / Finding</t>
  </si>
  <si>
    <t xml:space="preserve">Remediation Action</t>
  </si>
  <si>
    <t xml:space="preserve">Resources Required</t>
  </si>
  <si>
    <t xml:space="preserve">Risk Rating</t>
  </si>
  <si>
    <t xml:space="preserve">Milestone Owner</t>
  </si>
  <si>
    <t xml:space="preserve">Start Date</t>
  </si>
  <si>
    <t xml:space="preserve">Target Completion Date</t>
  </si>
  <si>
    <t xml:space="preserve">% Complete</t>
  </si>
  <si>
    <t xml:space="preserve">Status</t>
  </si>
  <si>
    <t xml:space="preserve">Notes</t>
  </si>
  <si>
    <t xml:space="preserve">POAM-01</t>
  </si>
  <si>
    <t xml:space="preserve">RISK-01</t>
  </si>
  <si>
    <t xml:space="preserve">Govern</t>
  </si>
  <si>
    <t xml:space="preserve">No formal enterprise risk management (ERM) program; cybersecurity risk tracked ad hoc</t>
  </si>
  <si>
    <t xml:space="preserve">Establish a cross-functional risk committee (Security, Engineering, Legal/Compliance, Finance); adopt a formal risk register and quarterly review cadence; define risk appetite and tolerance statements</t>
  </si>
  <si>
    <t xml:space="preserve">Security/GRC Analyst time; executive sponsorship; risk management tooling (e.g., GRC platform or structured spreadsheet)</t>
  </si>
  <si>
    <t xml:space="preserve">High</t>
  </si>
  <si>
    <t xml:space="preserve">Head of Security</t>
  </si>
  <si>
    <t xml:space="preserve">2026-02-01</t>
  </si>
  <si>
    <t xml:space="preserve">2026-05-01</t>
  </si>
  <si>
    <t xml:space="preserve">In Progress</t>
  </si>
  <si>
    <t xml:space="preserve">Risk register from this assessment serves as the initial baseline</t>
  </si>
  <si>
    <t xml:space="preserve">POAM-02</t>
  </si>
  <si>
    <t xml:space="preserve">RISK-02</t>
  </si>
  <si>
    <t xml:space="preserve">No dedicated CISO/security executive; security has no direct board/executive risk reporting line</t>
  </si>
  <si>
    <t xml:space="preserve">Define and fill a CISO or VP of Security role (or formally expand current security leader's scope/title with direct executive reporting line); establish quarterly security posture reporting to executive leadership</t>
  </si>
  <si>
    <t xml:space="preserve">Budget approval for new/expanded role; executive sponsorship</t>
  </si>
  <si>
    <t xml:space="preserve">CEO / CTO</t>
  </si>
  <si>
    <t xml:space="preserve">2026-07-01</t>
  </si>
  <si>
    <t xml:space="preserve">Not Started</t>
  </si>
  <si>
    <t xml:space="preserve">Pending budget approval in next planning cycle</t>
  </si>
  <si>
    <t xml:space="preserve">POAM-03</t>
  </si>
  <si>
    <t xml:space="preserve">RISK-03</t>
  </si>
  <si>
    <t xml:space="preserve">No formal vendor security risk assessment process for third parties with access to sensitive data</t>
  </si>
  <si>
    <t xml:space="preserve">Develop a vendor risk tiering model; implement a standardized security questionnaire (e.g., based on SIG Lite) and require SOC 2 reports for Tier 1/2 vendors; establish annual vendor reassessment cadence</t>
  </si>
  <si>
    <t xml:space="preserve">GRC Analyst time; vendor questionnaire template/tooling; Legal/Procurement coordination</t>
  </si>
  <si>
    <t xml:space="preserve">Head of Security / Procurement</t>
  </si>
  <si>
    <t xml:space="preserve">2026-03-01</t>
  </si>
  <si>
    <t xml:space="preserve">2026-06-01</t>
  </si>
  <si>
    <t xml:space="preserve">Coordinate with Legal on integrating into contract renewal process</t>
  </si>
  <si>
    <t xml:space="preserve">POAM-04</t>
  </si>
  <si>
    <t xml:space="preserve">RISK-04</t>
  </si>
  <si>
    <t xml:space="preserve">Identify</t>
  </si>
  <si>
    <t xml:space="preserve">Asset inventory partially manual and not continuously updated</t>
  </si>
  <si>
    <t xml:space="preserve">Implement automated asset discovery/CMDB tooling integrated with AWS and SaaS environments; deprecate manual spreadsheet as source of truth</t>
  </si>
  <si>
    <t xml:space="preserve">Asset management/CMDB tooling budget; IT/Engineering implementation time</t>
  </si>
  <si>
    <t xml:space="preserve">Medium</t>
  </si>
  <si>
    <t xml:space="preserve">IT Manager</t>
  </si>
  <si>
    <t xml:space="preserve">2026-02-15</t>
  </si>
  <si>
    <t xml:space="preserve">2026-05-15</t>
  </si>
  <si>
    <t xml:space="preserve">Evaluating two CMDB/asset discovery tools</t>
  </si>
  <si>
    <t xml:space="preserve">POAM-05</t>
  </si>
  <si>
    <t xml:space="preserve">RISK-05</t>
  </si>
  <si>
    <t xml:space="preserve">No formal, recurring vulnerability management program</t>
  </si>
  <si>
    <t xml:space="preserve">Implement scheduled vulnerability scanning (e.g., weekly for production, monthly for non-production); define patch SLAs by severity; assign clear remediation ownership</t>
  </si>
  <si>
    <t xml:space="preserve">Vulnerability scanning tooling; Security Engineering time</t>
  </si>
  <si>
    <t xml:space="preserve">Security Engineering</t>
  </si>
  <si>
    <t xml:space="preserve">2026-04-15</t>
  </si>
  <si>
    <t xml:space="preserve">Scanning tool selected; rollout to staging complete, production pending</t>
  </si>
  <si>
    <t xml:space="preserve">POAM-06</t>
  </si>
  <si>
    <t xml:space="preserve">RISK-06</t>
  </si>
  <si>
    <t xml:space="preserve">Protect</t>
  </si>
  <si>
    <t xml:space="preserve">MFA not universally enforced across all internal systems</t>
  </si>
  <si>
    <t xml:space="preserve">Conduct inventory of internal systems lacking MFA; enforce MFA via Okta for all internal applications supporting SSO; implement compensating controls (e.g., VPN + MFA) for legacy systems that cannot integrate with SSO</t>
  </si>
  <si>
    <t xml:space="preserve">IT/Security Engineering time; potential licensing costs for MFA on legacy systems</t>
  </si>
  <si>
    <t xml:space="preserve">IT Manager / Security Engineering</t>
  </si>
  <si>
    <t xml:space="preserve">2026-04-01</t>
  </si>
  <si>
    <t xml:space="preserve">80% of internal apps now behind Okta SSO+MFA; legacy ticketing system remaining</t>
  </si>
  <si>
    <t xml:space="preserve">POAM-07</t>
  </si>
  <si>
    <t xml:space="preserve">RISK-07</t>
  </si>
  <si>
    <t xml:space="preserve">No formally scheduled periodic access reviews</t>
  </si>
  <si>
    <t xml:space="preserve">Implement quarterly access recertification process for all systems handling Confidential/Restricted data; assign business owners to review and attest to access lists</t>
  </si>
  <si>
    <t xml:space="preserve">GRC Analyst time; access review tooling or structured tracking process</t>
  </si>
  <si>
    <t xml:space="preserve">Low</t>
  </si>
  <si>
    <t xml:space="preserve">Process design phase; first review cycle targeted for Q2 2026</t>
  </si>
  <si>
    <t xml:space="preserve">POAM-08</t>
  </si>
  <si>
    <t xml:space="preserve">RISK-08</t>
  </si>
  <si>
    <t xml:space="preserve">Security awareness training is generic, not role-based</t>
  </si>
  <si>
    <t xml:space="preserve">Develop role-based training tracks (engineering, support/operations, finance, executive) with phishing simulation program for high-risk roles</t>
  </si>
  <si>
    <t xml:space="preserve">Security awareness training platform; HR coordination</t>
  </si>
  <si>
    <t xml:space="preserve">Head of Security / HR</t>
  </si>
  <si>
    <t xml:space="preserve">2026-08-01</t>
  </si>
  <si>
    <t xml:space="preserve">Evaluating training platform vendors</t>
  </si>
  <si>
    <t xml:space="preserve">POAM-09</t>
  </si>
  <si>
    <t xml:space="preserve">RISK-09, RISK-10</t>
  </si>
  <si>
    <t xml:space="preserve">Detect</t>
  </si>
  <si>
    <t xml:space="preserve">No centralized SIEM/log correlation; no formal SOC process or detection use cases</t>
  </si>
  <si>
    <t xml:space="preserve">Deploy centralized SIEM (or cloud-native equivalent, e.g., AWS Security Hub + GuardDuty) to correlate logs across cloud, application, and identity systems; define initial set of high-priority detection use cases; establish alert triage process with defined coverage hours</t>
  </si>
  <si>
    <t xml:space="preserve">SIEM/security monitoring tooling budget; Security Engineering + SOC Analyst implementation time; potential MSSP evaluation for 24/7 coverage</t>
  </si>
  <si>
    <t xml:space="preserve">Critical</t>
  </si>
  <si>
    <t xml:space="preserve">Security Engineering / SOC</t>
  </si>
  <si>
    <t xml:space="preserve">Top remediation priority; GuardDuty enabled in production, full SIEM rollout in progress</t>
  </si>
  <si>
    <t xml:space="preserve">POAM-10</t>
  </si>
  <si>
    <t xml:space="preserve">RISK-11</t>
  </si>
  <si>
    <t xml:space="preserve">Respond</t>
  </si>
  <si>
    <t xml:space="preserve">No formal, documented incident response plan</t>
  </si>
  <si>
    <t xml:space="preserve">Develop and document a formal incident response plan including severity classification, escalation paths, roles/responsibilities (RACI), and communication templates; conduct tabletop exercise to validate</t>
  </si>
  <si>
    <t xml:space="preserve">Security/GRC Analyst time; cross-functional participation (Engineering, Legal, Comms) for tabletop exercise</t>
  </si>
  <si>
    <t xml:space="preserve">2026-04-30</t>
  </si>
  <si>
    <t xml:space="preserve">Draft plan in review; tabletop exercise scheduled for April 2026</t>
  </si>
  <si>
    <t xml:space="preserve">POAM-11</t>
  </si>
  <si>
    <t xml:space="preserve">RISK-12</t>
  </si>
  <si>
    <t xml:space="preserve">No defined breach notification procedure mapped to regulatory timelines</t>
  </si>
  <si>
    <t xml:space="preserve">Document breach notification workflow mapped to applicable state breach notification laws, card network rules, and contractual obligations; define legal/compliance escalation triggers and notification templates</t>
  </si>
  <si>
    <t xml:space="preserve">Legal/Compliance time; coordination with outside counsel as needed</t>
  </si>
  <si>
    <t xml:space="preserve">Legal/Compliance / Head of Security</t>
  </si>
  <si>
    <t xml:space="preserve">To be incorporated as an annex to the incident response plan (POAM-10)</t>
  </si>
  <si>
    <t xml:space="preserve">POAM-12</t>
  </si>
  <si>
    <t xml:space="preserve">RISK-13</t>
  </si>
  <si>
    <t xml:space="preserve">Recover</t>
  </si>
  <si>
    <t xml:space="preserve">Disaster recovery plan untested via tabletop or live failover in 18+ months</t>
  </si>
  <si>
    <t xml:space="preserve">Conduct DR tabletop exercise to validate current plan; follow with a live failover test for critical production systems; update RTO/RPO documentation based on results</t>
  </si>
  <si>
    <t xml:space="preserve">Engineering/IT time; potential downtime window coordination for live failover test</t>
  </si>
  <si>
    <t xml:space="preserve">IT Manager / Engineering</t>
  </si>
  <si>
    <t xml:space="preserve">2026-03-15</t>
  </si>
  <si>
    <t xml:space="preserve">2026-06-15</t>
  </si>
  <si>
    <t xml:space="preserve">Tabletop exercise to be scheduled first; live failover test to follow</t>
  </si>
  <si>
    <t xml:space="preserve">POA&amp;M Summary Dashboard</t>
  </si>
  <si>
    <t xml:space="preserve">Status and risk distribution across all open remediation items</t>
  </si>
  <si>
    <t xml:space="preserve">By Status</t>
  </si>
  <si>
    <t xml:space="preserve">Completed</t>
  </si>
  <si>
    <t xml:space="preserve">Delayed</t>
  </si>
  <si>
    <t xml:space="preserve">By Risk Rating</t>
  </si>
  <si>
    <t xml:space="preserve">Average % Complete (All Items)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</si>
</sst>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6B6B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A9D08E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9DC3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08E"/>
      <rgbColor rgb="FFFFFF99"/>
      <rgbColor rgb="FF9DC3E6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50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3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69.75" hidden="false" customHeight="true" outlineLevel="0" collapsed="false">
      <c r="A5" s="4" t="s">
        <v>15</v>
      </c>
      <c r="B5" s="4" t="s">
        <v>16</v>
      </c>
      <c r="C5" s="4" t="s">
        <v>17</v>
      </c>
      <c r="D5" s="5" t="s">
        <v>18</v>
      </c>
      <c r="E5" s="5" t="s">
        <v>19</v>
      </c>
      <c r="F5" s="5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6" t="n">
        <v>0.1</v>
      </c>
      <c r="L5" s="4" t="s">
        <v>25</v>
      </c>
      <c r="M5" s="5" t="s">
        <v>26</v>
      </c>
    </row>
    <row r="6" customFormat="false" ht="69.75" hidden="false" customHeight="true" outlineLevel="0" collapsed="false">
      <c r="A6" s="4" t="s">
        <v>27</v>
      </c>
      <c r="B6" s="4" t="s">
        <v>28</v>
      </c>
      <c r="C6" s="4" t="s">
        <v>17</v>
      </c>
      <c r="D6" s="5" t="s">
        <v>29</v>
      </c>
      <c r="E6" s="5" t="s">
        <v>30</v>
      </c>
      <c r="F6" s="5" t="s">
        <v>31</v>
      </c>
      <c r="G6" s="4" t="s">
        <v>21</v>
      </c>
      <c r="H6" s="4" t="s">
        <v>32</v>
      </c>
      <c r="I6" s="4" t="s">
        <v>23</v>
      </c>
      <c r="J6" s="4" t="s">
        <v>33</v>
      </c>
      <c r="K6" s="6" t="n">
        <v>0</v>
      </c>
      <c r="L6" s="4" t="s">
        <v>34</v>
      </c>
      <c r="M6" s="5" t="s">
        <v>35</v>
      </c>
    </row>
    <row r="7" customFormat="false" ht="69.75" hidden="false" customHeight="true" outlineLevel="0" collapsed="false">
      <c r="A7" s="4" t="s">
        <v>36</v>
      </c>
      <c r="B7" s="4" t="s">
        <v>37</v>
      </c>
      <c r="C7" s="4" t="s">
        <v>17</v>
      </c>
      <c r="D7" s="5" t="s">
        <v>38</v>
      </c>
      <c r="E7" s="5" t="s">
        <v>39</v>
      </c>
      <c r="F7" s="5" t="s">
        <v>40</v>
      </c>
      <c r="G7" s="4" t="s">
        <v>21</v>
      </c>
      <c r="H7" s="4" t="s">
        <v>41</v>
      </c>
      <c r="I7" s="4" t="s">
        <v>42</v>
      </c>
      <c r="J7" s="4" t="s">
        <v>43</v>
      </c>
      <c r="K7" s="6" t="n">
        <v>0</v>
      </c>
      <c r="L7" s="4" t="s">
        <v>34</v>
      </c>
      <c r="M7" s="5" t="s">
        <v>44</v>
      </c>
    </row>
    <row r="8" customFormat="false" ht="69.75" hidden="false" customHeight="true" outlineLevel="0" collapsed="false">
      <c r="A8" s="4" t="s">
        <v>45</v>
      </c>
      <c r="B8" s="4" t="s">
        <v>46</v>
      </c>
      <c r="C8" s="4" t="s">
        <v>47</v>
      </c>
      <c r="D8" s="5" t="s">
        <v>48</v>
      </c>
      <c r="E8" s="5" t="s">
        <v>49</v>
      </c>
      <c r="F8" s="5" t="s">
        <v>50</v>
      </c>
      <c r="G8" s="4" t="s">
        <v>51</v>
      </c>
      <c r="H8" s="4" t="s">
        <v>52</v>
      </c>
      <c r="I8" s="4" t="s">
        <v>53</v>
      </c>
      <c r="J8" s="4" t="s">
        <v>54</v>
      </c>
      <c r="K8" s="6" t="n">
        <v>0.2</v>
      </c>
      <c r="L8" s="4" t="s">
        <v>25</v>
      </c>
      <c r="M8" s="5" t="s">
        <v>55</v>
      </c>
    </row>
    <row r="9" customFormat="false" ht="69.75" hidden="false" customHeight="true" outlineLevel="0" collapsed="false">
      <c r="A9" s="4" t="s">
        <v>56</v>
      </c>
      <c r="B9" s="4" t="s">
        <v>57</v>
      </c>
      <c r="C9" s="4" t="s">
        <v>47</v>
      </c>
      <c r="D9" s="5" t="s">
        <v>58</v>
      </c>
      <c r="E9" s="5" t="s">
        <v>59</v>
      </c>
      <c r="F9" s="5" t="s">
        <v>60</v>
      </c>
      <c r="G9" s="4" t="s">
        <v>21</v>
      </c>
      <c r="H9" s="4" t="s">
        <v>61</v>
      </c>
      <c r="I9" s="4" t="s">
        <v>23</v>
      </c>
      <c r="J9" s="4" t="s">
        <v>62</v>
      </c>
      <c r="K9" s="6" t="n">
        <v>0.3</v>
      </c>
      <c r="L9" s="4" t="s">
        <v>25</v>
      </c>
      <c r="M9" s="5" t="s">
        <v>63</v>
      </c>
    </row>
    <row r="10" customFormat="false" ht="69.75" hidden="false" customHeight="true" outlineLevel="0" collapsed="false">
      <c r="A10" s="4" t="s">
        <v>64</v>
      </c>
      <c r="B10" s="4" t="s">
        <v>65</v>
      </c>
      <c r="C10" s="4" t="s">
        <v>66</v>
      </c>
      <c r="D10" s="5" t="s">
        <v>67</v>
      </c>
      <c r="E10" s="5" t="s">
        <v>68</v>
      </c>
      <c r="F10" s="5" t="s">
        <v>69</v>
      </c>
      <c r="G10" s="4" t="s">
        <v>21</v>
      </c>
      <c r="H10" s="4" t="s">
        <v>70</v>
      </c>
      <c r="I10" s="4" t="s">
        <v>23</v>
      </c>
      <c r="J10" s="4" t="s">
        <v>71</v>
      </c>
      <c r="K10" s="6" t="n">
        <v>0.4</v>
      </c>
      <c r="L10" s="4" t="s">
        <v>25</v>
      </c>
      <c r="M10" s="5" t="s">
        <v>72</v>
      </c>
    </row>
    <row r="11" customFormat="false" ht="69.75" hidden="false" customHeight="true" outlineLevel="0" collapsed="false">
      <c r="A11" s="4" t="s">
        <v>73</v>
      </c>
      <c r="B11" s="4" t="s">
        <v>74</v>
      </c>
      <c r="C11" s="4" t="s">
        <v>66</v>
      </c>
      <c r="D11" s="5" t="s">
        <v>75</v>
      </c>
      <c r="E11" s="5" t="s">
        <v>76</v>
      </c>
      <c r="F11" s="5" t="s">
        <v>77</v>
      </c>
      <c r="G11" s="4" t="s">
        <v>78</v>
      </c>
      <c r="H11" s="4" t="s">
        <v>52</v>
      </c>
      <c r="I11" s="4" t="s">
        <v>42</v>
      </c>
      <c r="J11" s="4" t="s">
        <v>24</v>
      </c>
      <c r="K11" s="6" t="n">
        <v>0</v>
      </c>
      <c r="L11" s="4" t="s">
        <v>34</v>
      </c>
      <c r="M11" s="5" t="s">
        <v>79</v>
      </c>
    </row>
    <row r="12" customFormat="false" ht="69.75" hidden="false" customHeight="true" outlineLevel="0" collapsed="false">
      <c r="A12" s="4" t="s">
        <v>80</v>
      </c>
      <c r="B12" s="4" t="s">
        <v>81</v>
      </c>
      <c r="C12" s="4" t="s">
        <v>66</v>
      </c>
      <c r="D12" s="5" t="s">
        <v>82</v>
      </c>
      <c r="E12" s="5" t="s">
        <v>83</v>
      </c>
      <c r="F12" s="5" t="s">
        <v>84</v>
      </c>
      <c r="G12" s="4" t="s">
        <v>78</v>
      </c>
      <c r="H12" s="4" t="s">
        <v>85</v>
      </c>
      <c r="I12" s="4" t="s">
        <v>71</v>
      </c>
      <c r="J12" s="4" t="s">
        <v>86</v>
      </c>
      <c r="K12" s="6" t="n">
        <v>0</v>
      </c>
      <c r="L12" s="4" t="s">
        <v>34</v>
      </c>
      <c r="M12" s="5" t="s">
        <v>87</v>
      </c>
    </row>
    <row r="13" customFormat="false" ht="69.75" hidden="false" customHeight="true" outlineLevel="0" collapsed="false">
      <c r="A13" s="4" t="s">
        <v>88</v>
      </c>
      <c r="B13" s="4" t="s">
        <v>89</v>
      </c>
      <c r="C13" s="4" t="s">
        <v>90</v>
      </c>
      <c r="D13" s="5" t="s">
        <v>91</v>
      </c>
      <c r="E13" s="5" t="s">
        <v>92</v>
      </c>
      <c r="F13" s="5" t="s">
        <v>93</v>
      </c>
      <c r="G13" s="4" t="s">
        <v>94</v>
      </c>
      <c r="H13" s="4" t="s">
        <v>95</v>
      </c>
      <c r="I13" s="4" t="s">
        <v>23</v>
      </c>
      <c r="J13" s="4" t="s">
        <v>43</v>
      </c>
      <c r="K13" s="6" t="n">
        <v>0.15</v>
      </c>
      <c r="L13" s="4" t="s">
        <v>25</v>
      </c>
      <c r="M13" s="5" t="s">
        <v>96</v>
      </c>
    </row>
    <row r="14" customFormat="false" ht="69.75" hidden="false" customHeight="true" outlineLevel="0" collapsed="false">
      <c r="A14" s="4" t="s">
        <v>97</v>
      </c>
      <c r="B14" s="4" t="s">
        <v>98</v>
      </c>
      <c r="C14" s="4" t="s">
        <v>99</v>
      </c>
      <c r="D14" s="5" t="s">
        <v>100</v>
      </c>
      <c r="E14" s="5" t="s">
        <v>101</v>
      </c>
      <c r="F14" s="5" t="s">
        <v>102</v>
      </c>
      <c r="G14" s="4" t="s">
        <v>94</v>
      </c>
      <c r="H14" s="4" t="s">
        <v>22</v>
      </c>
      <c r="I14" s="4" t="s">
        <v>23</v>
      </c>
      <c r="J14" s="4" t="s">
        <v>103</v>
      </c>
      <c r="K14" s="6" t="n">
        <v>0.25</v>
      </c>
      <c r="L14" s="4" t="s">
        <v>25</v>
      </c>
      <c r="M14" s="5" t="s">
        <v>104</v>
      </c>
    </row>
    <row r="15" customFormat="false" ht="69.75" hidden="false" customHeight="true" outlineLevel="0" collapsed="false">
      <c r="A15" s="4" t="s">
        <v>105</v>
      </c>
      <c r="B15" s="4" t="s">
        <v>106</v>
      </c>
      <c r="C15" s="4" t="s">
        <v>99</v>
      </c>
      <c r="D15" s="5" t="s">
        <v>107</v>
      </c>
      <c r="E15" s="5" t="s">
        <v>108</v>
      </c>
      <c r="F15" s="5" t="s">
        <v>109</v>
      </c>
      <c r="G15" s="4" t="s">
        <v>51</v>
      </c>
      <c r="H15" s="4" t="s">
        <v>110</v>
      </c>
      <c r="I15" s="4" t="s">
        <v>42</v>
      </c>
      <c r="J15" s="4" t="s">
        <v>54</v>
      </c>
      <c r="K15" s="6" t="n">
        <v>0</v>
      </c>
      <c r="L15" s="4" t="s">
        <v>34</v>
      </c>
      <c r="M15" s="5" t="s">
        <v>111</v>
      </c>
    </row>
    <row r="16" customFormat="false" ht="69.75" hidden="false" customHeight="true" outlineLevel="0" collapsed="false">
      <c r="A16" s="4" t="s">
        <v>112</v>
      </c>
      <c r="B16" s="4" t="s">
        <v>113</v>
      </c>
      <c r="C16" s="4" t="s">
        <v>114</v>
      </c>
      <c r="D16" s="5" t="s">
        <v>115</v>
      </c>
      <c r="E16" s="5" t="s">
        <v>116</v>
      </c>
      <c r="F16" s="5" t="s">
        <v>117</v>
      </c>
      <c r="G16" s="4" t="s">
        <v>51</v>
      </c>
      <c r="H16" s="4" t="s">
        <v>118</v>
      </c>
      <c r="I16" s="4" t="s">
        <v>119</v>
      </c>
      <c r="J16" s="4" t="s">
        <v>120</v>
      </c>
      <c r="K16" s="6" t="n">
        <v>0</v>
      </c>
      <c r="L16" s="4" t="s">
        <v>34</v>
      </c>
      <c r="M16" s="5" t="s">
        <v>121</v>
      </c>
    </row>
  </sheetData>
  <conditionalFormatting sqref="G5:G16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L5:L16">
    <cfRule type="cellIs" priority="6" operator="equal" aboveAverage="0" equalAverage="0" bottom="0" percent="0" rank="0" text="" dxfId="4">
      <formula>"Not Started"</formula>
    </cfRule>
    <cfRule type="cellIs" priority="7" operator="equal" aboveAverage="0" equalAverage="0" bottom="0" percent="0" rank="0" text="" dxfId="5">
      <formula>"In Progress"</formula>
    </cfRule>
    <cfRule type="cellIs" priority="8" operator="equal" aboveAverage="0" equalAverage="0" bottom="0" percent="0" rank="0" text="" dxfId="3">
      <formula>"Completed"</formula>
    </cfRule>
    <cfRule type="cellIs" priority="9" operator="equal" aboveAverage="0" equalAverage="0" bottom="0" percent="0" rank="0" text="" dxfId="1">
      <formula>"Delayed"</formula>
    </cfRule>
  </conditionalFormatting>
  <dataValidations count="2">
    <dataValidation allowBlank="false" errorStyle="stop" operator="between" showDropDown="false" showErrorMessage="false" showInputMessage="false" sqref="L5:L16" type="list">
      <formula1>"Not Started,In Progress,Completed,Delayed"</formula1>
      <formula2>0</formula2>
    </dataValidation>
    <dataValidation allowBlank="true" errorStyle="stop" operator="between" showDropDown="false" showErrorMessage="false" showInputMessage="false" sqref="K5:K1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7" t="s">
        <v>124</v>
      </c>
    </row>
    <row r="5" customFormat="false" ht="15" hidden="false" customHeight="false" outlineLevel="0" collapsed="false">
      <c r="A5" s="5" t="s">
        <v>34</v>
      </c>
      <c r="B5" s="5" t="n">
        <f aca="false">COUNTIF(POAM!L5:L16,"Not Started")</f>
        <v>6</v>
      </c>
    </row>
    <row r="6" customFormat="false" ht="15" hidden="false" customHeight="false" outlineLevel="0" collapsed="false">
      <c r="A6" s="5" t="s">
        <v>25</v>
      </c>
      <c r="B6" s="5" t="n">
        <f aca="false">COUNTIF(POAM!L5:L16,"In Progress")</f>
        <v>6</v>
      </c>
    </row>
    <row r="7" customFormat="false" ht="15" hidden="false" customHeight="false" outlineLevel="0" collapsed="false">
      <c r="A7" s="5" t="s">
        <v>125</v>
      </c>
      <c r="B7" s="5" t="n">
        <f aca="false">COUNTIF(POAM!L5:L16,"Completed")</f>
        <v>0</v>
      </c>
    </row>
    <row r="8" customFormat="false" ht="15" hidden="false" customHeight="false" outlineLevel="0" collapsed="false">
      <c r="A8" s="5" t="s">
        <v>126</v>
      </c>
      <c r="B8" s="5" t="n">
        <f aca="false">COUNTIF(POAM!L5:L16,"Delayed")</f>
        <v>0</v>
      </c>
    </row>
    <row r="10" customFormat="false" ht="15" hidden="false" customHeight="false" outlineLevel="0" collapsed="false">
      <c r="A10" s="5" t="s">
        <v>127</v>
      </c>
    </row>
    <row r="11" customFormat="false" ht="15" hidden="false" customHeight="false" outlineLevel="0" collapsed="false">
      <c r="A11" s="5" t="s">
        <v>94</v>
      </c>
      <c r="B11" s="5" t="n">
        <f aca="false">COUNTIF(POAM!G5:G16,"Critical")</f>
        <v>2</v>
      </c>
    </row>
    <row r="12" customFormat="false" ht="15" hidden="false" customHeight="false" outlineLevel="0" collapsed="false">
      <c r="A12" s="5" t="s">
        <v>21</v>
      </c>
      <c r="B12" s="5" t="n">
        <f aca="false">COUNTIF(POAM!G5:G16,"High")</f>
        <v>5</v>
      </c>
    </row>
    <row r="13" customFormat="false" ht="15" hidden="false" customHeight="false" outlineLevel="0" collapsed="false">
      <c r="A13" s="5" t="s">
        <v>51</v>
      </c>
      <c r="B13" s="5" t="n">
        <f aca="false">COUNTIF(POAM!G5:G16,"Medium")</f>
        <v>3</v>
      </c>
    </row>
    <row r="14" customFormat="false" ht="15" hidden="false" customHeight="false" outlineLevel="0" collapsed="false">
      <c r="A14" s="5" t="s">
        <v>78</v>
      </c>
      <c r="B14" s="5" t="n">
        <f aca="false">COUNTIF(POAM!G5:G16,"Low")</f>
        <v>2</v>
      </c>
    </row>
    <row r="16" customFormat="false" ht="15" hidden="false" customHeight="false" outlineLevel="0" collapsed="false">
      <c r="A16" s="5" t="s">
        <v>128</v>
      </c>
      <c r="B16" s="8" t="n">
        <f aca="false">AVERAGE(POAM!K5:K16)</f>
        <v>0.116666666666667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2026-06-17T19:44:27Z</dcterms:created>
  <dc:creator>openpyxl</dc:creator>
  <dc:description/>
  <dc:language>en-US</dc:language>
  <cp:lastModifiedBy/>
  <dcterms:modified xsi:type="dcterms:W3CDTF">2026-06-17T19:44:27Z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
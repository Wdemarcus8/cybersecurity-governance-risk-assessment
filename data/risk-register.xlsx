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isk Register" sheetId="1" state="visible" r:id="rId3"/>
    <sheet name="Scoring Methodolog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<sst xmlns="http://schemas.openxmlformats.org/spreadsheetml/2006/main" count="201" uniqueCount="163">
  <si>
    <t xml:space="preserve">Meridian Pay Solutions — Cybersecurity Risk Register</t>
  </si>
  <si>
    <t xml:space="preserve">NIST CSF 2.0 / NIST SP 800-30 Aligned | Fictional Case Study for Portfolio Purposes | Last Updated: 2026-Q1</t>
  </si>
  <si>
    <t xml:space="preserve">Risk ID</t>
  </si>
  <si>
    <t xml:space="preserve">Date Identified</t>
  </si>
  <si>
    <t xml:space="preserve">NIST CSF Function</t>
  </si>
  <si>
    <t xml:space="preserve">Risk Category</t>
  </si>
  <si>
    <t xml:space="preserve">Risk Description</t>
  </si>
  <si>
    <t xml:space="preserve">Threat Source</t>
  </si>
  <si>
    <t xml:space="preserve">Vulnerability</t>
  </si>
  <si>
    <t xml:space="preserve">Existing Controls</t>
  </si>
  <si>
    <t xml:space="preserve">Likelihood (1-5)</t>
  </si>
  <si>
    <t xml:space="preserve">Impact (1-5)</t>
  </si>
  <si>
    <t xml:space="preserve">Risk Score</t>
  </si>
  <si>
    <t xml:space="preserve">Risk Rating</t>
  </si>
  <si>
    <t xml:space="preserve">Risk Owner</t>
  </si>
  <si>
    <t xml:space="preserve">Related POA&amp;M ID</t>
  </si>
  <si>
    <t xml:space="preserve">Status</t>
  </si>
  <si>
    <t xml:space="preserve">RISK-01</t>
  </si>
  <si>
    <t xml:space="preserve">2026-01-15</t>
  </si>
  <si>
    <t xml:space="preserve">Govern</t>
  </si>
  <si>
    <t xml:space="preserve">Risk Management Strategy</t>
  </si>
  <si>
    <t xml:space="preserve">Lack of a formal enterprise risk management (ERM) program results in cybersecurity risks being tracked ad hoc, without consistent ownership, prioritization, or executive visibility.</t>
  </si>
  <si>
    <t xml:space="preserve">Internal process failure</t>
  </si>
  <si>
    <t xml:space="preserve">No documented ERM framework or risk register prior to this assessment; no cross-functional risk committee</t>
  </si>
  <si>
    <t xml:space="preserve">Security team informally tracks known issues</t>
  </si>
  <si>
    <t xml:space="preserve">CTO / Head of Security</t>
  </si>
  <si>
    <t xml:space="preserve">POAM-01</t>
  </si>
  <si>
    <t xml:space="preserve">Open</t>
  </si>
  <si>
    <t xml:space="preserve">RISK-02</t>
  </si>
  <si>
    <t xml:space="preserve">Roles, Responsibilities &amp; Authorities</t>
  </si>
  <si>
    <t xml:space="preserve">Absence of a dedicated CISO or equivalent security executive limits strategic ownership of the security program and creates a gap in board/executive-level risk reporting.</t>
  </si>
  <si>
    <t xml:space="preserve">Organizational/governance gap</t>
  </si>
  <si>
    <t xml:space="preserve">Security function reports to CTO with no independent executive voice on risk</t>
  </si>
  <si>
    <t xml:space="preserve">Security manager handles day-to-day leadership</t>
  </si>
  <si>
    <t xml:space="preserve">CEO / CTO</t>
  </si>
  <si>
    <t xml:space="preserve">POAM-02</t>
  </si>
  <si>
    <t xml:space="preserve">RISK-03</t>
  </si>
  <si>
    <t xml:space="preserve">Supply Chain Risk Management</t>
  </si>
  <si>
    <t xml:space="preserve">No formal vendor security risk assessment process exists; third parties with access to sensitive data (payment gateway, KYC vendor, support contractors) are onboarded without a structured security review.</t>
  </si>
  <si>
    <t xml:space="preserve">Third-party compromise</t>
  </si>
  <si>
    <t xml:space="preserve">Vendor contracts reviewed by legal only; no security questionnaire, SOC 2 review, or ongoing monitoring</t>
  </si>
  <si>
    <t xml:space="preserve">Legal review of contract terms</t>
  </si>
  <si>
    <t xml:space="preserve">Head of Security / Procurement</t>
  </si>
  <si>
    <t xml:space="preserve">POAM-03</t>
  </si>
  <si>
    <t xml:space="preserve">RISK-04</t>
  </si>
  <si>
    <t xml:space="preserve">Identify</t>
  </si>
  <si>
    <t xml:space="preserve">Asset Management</t>
  </si>
  <si>
    <t xml:space="preserve">Asset inventory is maintained partially via a manually updated spreadsheet, creating risk of untracked or unknown assets (shadow IT, orphaned cloud resources) that fall outside security monitoring and patching.</t>
  </si>
  <si>
    <t xml:space="preserve">Internal process gap</t>
  </si>
  <si>
    <t xml:space="preserve">No automated, continuously updated asset discovery process across cloud and SaaS environments</t>
  </si>
  <si>
    <t xml:space="preserve">AWS tagging for cloud assets; manual spreadsheet for the rest</t>
  </si>
  <si>
    <t xml:space="preserve">IT Manager</t>
  </si>
  <si>
    <t xml:space="preserve">POAM-04</t>
  </si>
  <si>
    <t xml:space="preserve">RISK-05</t>
  </si>
  <si>
    <t xml:space="preserve">Risk Assessment</t>
  </si>
  <si>
    <t xml:space="preserve">No formal, recurring vulnerability management program exists; vulnerability scanning is performed ad hoc rather than on a defined schedule, increasing the window of exposure for unpatched vulnerabilities.</t>
  </si>
  <si>
    <t xml:space="preserve">External attacker exploiting known vulnerability</t>
  </si>
  <si>
    <t xml:space="preserve">No scheduled scanning cadence, no formal patch SLA tracking</t>
  </si>
  <si>
    <t xml:space="preserve">Occasional manual scans by engineering</t>
  </si>
  <si>
    <t xml:space="preserve">Security Engineering</t>
  </si>
  <si>
    <t xml:space="preserve">POAM-05</t>
  </si>
  <si>
    <t xml:space="preserve">RISK-06</t>
  </si>
  <si>
    <t xml:space="preserve">Protect</t>
  </si>
  <si>
    <t xml:space="preserve">Identity Management &amp; Access Control</t>
  </si>
  <si>
    <t xml:space="preserve">MFA is not universally enforced across all internal systems (only enforced for AWS root/admin and Okta SSO), leaving some internal applications reliant on password-only authentication.</t>
  </si>
  <si>
    <t xml:space="preserve">Credential theft / phishing</t>
  </si>
  <si>
    <t xml:space="preserve">Inconsistent MFA policy enforcement across internal application landscape</t>
  </si>
  <si>
    <t xml:space="preserve">MFA enforced for AWS root/admin and Okta SSO</t>
  </si>
  <si>
    <t xml:space="preserve">IT Manager / Security Engineering</t>
  </si>
  <si>
    <t xml:space="preserve">POAM-06</t>
  </si>
  <si>
    <t xml:space="preserve">RISK-07</t>
  </si>
  <si>
    <t xml:space="preserve">Periodic access reviews are not formally scheduled, increasing risk of privilege creep and stale access for employees and contractors who have changed roles or departed.</t>
  </si>
  <si>
    <t xml:space="preserve">Insider threat / stale access misuse</t>
  </si>
  <si>
    <t xml:space="preserve">No defined quarterly/semi-annual access recertification process</t>
  </si>
  <si>
    <t xml:space="preserve">Role-based access control exists at point of provisioning</t>
  </si>
  <si>
    <t xml:space="preserve">POAM-07</t>
  </si>
  <si>
    <t xml:space="preserve">RISK-08</t>
  </si>
  <si>
    <t xml:space="preserve">Awareness &amp; Training</t>
  </si>
  <si>
    <t xml:space="preserve">Security awareness training is generic and annual rather than role-based, leaving high-risk roles (e.g., support staff with data access, engineers with production access) without tailored guidance on relevant threats.</t>
  </si>
  <si>
    <t xml:space="preserve">Phishing / social engineering</t>
  </si>
  <si>
    <t xml:space="preserve">Single generic training module for all employees regardless of role/data access</t>
  </si>
  <si>
    <t xml:space="preserve">Annual company-wide security awareness training</t>
  </si>
  <si>
    <t xml:space="preserve">Head of Security / HR</t>
  </si>
  <si>
    <t xml:space="preserve">POAM-08</t>
  </si>
  <si>
    <t xml:space="preserve">RISK-09</t>
  </si>
  <si>
    <t xml:space="preserve">Detect</t>
  </si>
  <si>
    <t xml:space="preserve">Continuous Monitoring</t>
  </si>
  <si>
    <t xml:space="preserve">No centralized SIEM or log correlation capability exists across cloud infrastructure, applications, and identity systems, significantly limiting the organization's ability to detect malicious activity in near real time.</t>
  </si>
  <si>
    <t xml:space="preserve">External attacker / undetected compromise</t>
  </si>
  <si>
    <t xml:space="preserve">Logs exist in silos (CloudTrail, app logs) with no correlation or centralized alerting</t>
  </si>
  <si>
    <t xml:space="preserve">CloudTrail and application-level logging enabled</t>
  </si>
  <si>
    <t xml:space="preserve">Security Engineering / SOC</t>
  </si>
  <si>
    <t xml:space="preserve">POAM-09</t>
  </si>
  <si>
    <t xml:space="preserve">RISK-10</t>
  </si>
  <si>
    <t xml:space="preserve">Adverse Event Analysis</t>
  </si>
  <si>
    <t xml:space="preserve">No formal SOC process or defined detection use cases exist; alert triage, when it happens, is manual and ad hoc rather than continuous, delaying detection of in-progress incidents.</t>
  </si>
  <si>
    <t xml:space="preserve">No 24/7 monitoring coverage, no documented detection use cases or runbooks</t>
  </si>
  <si>
    <t xml:space="preserve">Manual log review on an ad hoc basis</t>
  </si>
  <si>
    <t xml:space="preserve">SOC Analysts</t>
  </si>
  <si>
    <t xml:space="preserve">RISK-11</t>
  </si>
  <si>
    <t xml:space="preserve">Respond</t>
  </si>
  <si>
    <t xml:space="preserve">Incident Management</t>
  </si>
  <si>
    <t xml:space="preserve">No formal, documented incident response plan exists, meaning roles, escalation paths, and response procedures are undefined in the event of a confirmed security incident, risking a slow, uncoordinated response.</t>
  </si>
  <si>
    <t xml:space="preserve">Any confirmed security incident</t>
  </si>
  <si>
    <t xml:space="preserve">No IR plan, no defined severity classification, no on-call/escalation structure</t>
  </si>
  <si>
    <t xml:space="preserve">Ad hoc response coordinated informally by engineering leadership</t>
  </si>
  <si>
    <t xml:space="preserve">Head of Security</t>
  </si>
  <si>
    <t xml:space="preserve">POAM-10</t>
  </si>
  <si>
    <t xml:space="preserve">RISK-12</t>
  </si>
  <si>
    <t xml:space="preserve">Incident Response Reporting &amp; Communication</t>
  </si>
  <si>
    <t xml:space="preserve">No defined breach notification procedure mapped to regulatory timelines (state breach notification laws, card network rules) creates risk of missed or delayed legally required notifications following a confirmed breach.</t>
  </si>
  <si>
    <t xml:space="preserve">Regulatory/compliance failure following incident</t>
  </si>
  <si>
    <t xml:space="preserve">No documented notification workflow or legal/compliance escalation path tied to breach timelines</t>
  </si>
  <si>
    <t xml:space="preserve">Legal team would be engaged informally if an incident occurred</t>
  </si>
  <si>
    <t xml:space="preserve">Legal/Compliance / Head of Security</t>
  </si>
  <si>
    <t xml:space="preserve">POAM-11</t>
  </si>
  <si>
    <t xml:space="preserve">RISK-13</t>
  </si>
  <si>
    <t xml:space="preserve">Recover</t>
  </si>
  <si>
    <t xml:space="preserve">Incident Recovery Plan Execution</t>
  </si>
  <si>
    <t xml:space="preserve">The disaster recovery plan has not been tested via tabletop exercise or live failover in over 18 months, creating uncertainty about whether recovery procedures and time objectives (RTO/RPO) are still valid or achievable.</t>
  </si>
  <si>
    <t xml:space="preserve">System outage / disaster event</t>
  </si>
  <si>
    <t xml:space="preserve">DR plan exists on paper but is unvalidated; team unfamiliar with current execution steps</t>
  </si>
  <si>
    <t xml:space="preserve">Documented DR plan; automated database backups</t>
  </si>
  <si>
    <t xml:space="preserve">IT Manager / Engineering</t>
  </si>
  <si>
    <t xml:space="preserve">POAM-12</t>
  </si>
  <si>
    <t xml:space="preserve">Risk Scoring Methodology</t>
  </si>
  <si>
    <t xml:space="preserve">Risk Score = Likelihood (1-5) x Impact (1-5). Consistent with NIST SP 800-30 qualitative scoring approach.</t>
  </si>
  <si>
    <t xml:space="preserve">Likelihood Scale</t>
  </si>
  <si>
    <t xml:space="preserve">Score</t>
  </si>
  <si>
    <t xml:space="preserve">Label</t>
  </si>
  <si>
    <t xml:space="preserve">Description</t>
  </si>
  <si>
    <t xml:space="preserve">Rare</t>
  </si>
  <si>
    <t xml:space="preserve">Threat source has low motivation/capability; existing controls are highly effective</t>
  </si>
  <si>
    <t xml:space="preserve">Unlikely</t>
  </si>
  <si>
    <t xml:space="preserve">Threat source has limited motivation/capability; controls are generally effective</t>
  </si>
  <si>
    <t xml:space="preserve">Possible</t>
  </si>
  <si>
    <t xml:space="preserve">Threat source has moderate motivation/capability; controls provide partial mitigation</t>
  </si>
  <si>
    <t xml:space="preserve">Likely</t>
  </si>
  <si>
    <t xml:space="preserve">Threat source has clear motivation/capability; controls are weak or inconsistent</t>
  </si>
  <si>
    <t xml:space="preserve">Almost Certain</t>
  </si>
  <si>
    <t xml:space="preserve">Threat source is highly motivated/capable; little to no effective control exists</t>
  </si>
  <si>
    <t xml:space="preserve">Impact Scale</t>
  </si>
  <si>
    <t xml:space="preserve">Minimal</t>
  </si>
  <si>
    <t xml:space="preserve">Negligible impact to confidentiality/integrity/availability; no regulatory or financial consequence</t>
  </si>
  <si>
    <t xml:space="preserve">Minor</t>
  </si>
  <si>
    <t xml:space="preserve">Limited impact, contained to a single system or small data set; minor financial/operational impact</t>
  </si>
  <si>
    <t xml:space="preserve">Moderate</t>
  </si>
  <si>
    <t xml:space="preserve">Noticeable impact to operations or data; possible compliance implications; moderate financial impact</t>
  </si>
  <si>
    <t xml:space="preserve">Major</t>
  </si>
  <si>
    <t xml:space="preserve">Significant impact to operations, customer data, or compliance obligations (e.g., PCI-DSS, GLBA); substantial financial/reputational impact</t>
  </si>
  <si>
    <t xml:space="preserve">Severe</t>
  </si>
  <si>
    <t xml:space="preserve">Critical impact: large-scale data breach, extended outage, or regulatory action; severe financial/reputational/legal consequence</t>
  </si>
  <si>
    <t xml:space="preserve">Risk Rating Thresholds (Likelihood x Impact)</t>
  </si>
  <si>
    <t xml:space="preserve">Rating</t>
  </si>
  <si>
    <t xml:space="preserve">Score Range</t>
  </si>
  <si>
    <t xml:space="preserve">Critical</t>
  </si>
  <si>
    <t xml:space="preserve">15-25</t>
  </si>
  <si>
    <t xml:space="preserve">High</t>
  </si>
  <si>
    <t xml:space="preserve">9-14</t>
  </si>
  <si>
    <t xml:space="preserve">Medium</t>
  </si>
  <si>
    <t xml:space="preserve">4-8</t>
  </si>
  <si>
    <t xml:space="preserve">Low</t>
  </si>
  <si>
    <t xml:space="preserve">1-3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</si>
</sst>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FF6B6B"/>
        <bgColor rgb="FFFF6600"/>
      </patternFill>
    </fill>
    <fill>
      <patternFill patternType="solid">
        <fgColor rgb="FFFFD966"/>
        <bgColor rgb="FFFFFF99"/>
      </patternFill>
    </fill>
    <fill>
      <patternFill patternType="solid">
        <fgColor rgb="FFA9D08E"/>
        <bgColor rgb="FFB7B7B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FFFFFF"/>
        <sz val="10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FF6B6B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FFD966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A9D08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08E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52"/>
    <col collapsed="false" customWidth="true" hidden="false" outlineLevel="0" max="6" min="6" style="0" width="22"/>
    <col collapsed="false" customWidth="true" hidden="false" outlineLevel="0" max="8" min="7" style="0" width="30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22"/>
    <col collapsed="false" customWidth="true" hidden="false" outlineLevel="0" max="14" min="14" style="0" width="14"/>
    <col collapsed="false" customWidth="true" hidden="false" outlineLevel="0" max="15" min="15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60" hidden="false" customHeight="true" outlineLevel="0" collapsed="false">
      <c r="A5" s="4" t="s">
        <v>17</v>
      </c>
      <c r="B5" s="4" t="s">
        <v>18</v>
      </c>
      <c r="C5" s="4" t="s">
        <v>19</v>
      </c>
      <c r="D5" s="4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4" t="n">
        <v>3</v>
      </c>
      <c r="J5" s="4" t="n">
        <v>4</v>
      </c>
      <c r="K5" s="4" t="n">
        <f aca="false">I5*J5</f>
        <v>12</v>
      </c>
      <c r="L5" s="6" t="str">
        <f aca="false">IF(K5&gt;=15,"Critical",IF(K5&gt;=9,"High",IF(K5&gt;=4,"Medium","Low")))</f>
        <v>High</v>
      </c>
      <c r="M5" s="4" t="s">
        <v>25</v>
      </c>
      <c r="N5" s="4" t="s">
        <v>26</v>
      </c>
      <c r="O5" s="4" t="s">
        <v>27</v>
      </c>
    </row>
    <row r="6" customFormat="false" ht="60" hidden="false" customHeight="true" outlineLevel="0" collapsed="false">
      <c r="A6" s="4" t="s">
        <v>28</v>
      </c>
      <c r="B6" s="4" t="s">
        <v>18</v>
      </c>
      <c r="C6" s="4" t="s">
        <v>19</v>
      </c>
      <c r="D6" s="4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4" t="n">
        <v>3</v>
      </c>
      <c r="J6" s="4" t="n">
        <v>3</v>
      </c>
      <c r="K6" s="4" t="n">
        <f aca="false">I6*J6</f>
        <v>9</v>
      </c>
      <c r="L6" s="6" t="str">
        <f aca="false">IF(K6&gt;=15,"Critical",IF(K6&gt;=9,"High",IF(K6&gt;=4,"Medium","Low")))</f>
        <v>High</v>
      </c>
      <c r="M6" s="4" t="s">
        <v>34</v>
      </c>
      <c r="N6" s="4" t="s">
        <v>35</v>
      </c>
      <c r="O6" s="4" t="s">
        <v>27</v>
      </c>
    </row>
    <row r="7" customFormat="false" ht="60" hidden="false" customHeight="true" outlineLevel="0" collapsed="false">
      <c r="A7" s="4" t="s">
        <v>36</v>
      </c>
      <c r="B7" s="4" t="s">
        <v>18</v>
      </c>
      <c r="C7" s="4" t="s">
        <v>19</v>
      </c>
      <c r="D7" s="4" t="s">
        <v>37</v>
      </c>
      <c r="E7" s="5" t="s">
        <v>38</v>
      </c>
      <c r="F7" s="5" t="s">
        <v>39</v>
      </c>
      <c r="G7" s="5" t="s">
        <v>40</v>
      </c>
      <c r="H7" s="5" t="s">
        <v>41</v>
      </c>
      <c r="I7" s="4" t="n">
        <v>3</v>
      </c>
      <c r="J7" s="4" t="n">
        <v>4</v>
      </c>
      <c r="K7" s="4" t="n">
        <f aca="false">I7*J7</f>
        <v>12</v>
      </c>
      <c r="L7" s="6" t="str">
        <f aca="false">IF(K7&gt;=15,"Critical",IF(K7&gt;=9,"High",IF(K7&gt;=4,"Medium","Low")))</f>
        <v>High</v>
      </c>
      <c r="M7" s="4" t="s">
        <v>42</v>
      </c>
      <c r="N7" s="4" t="s">
        <v>43</v>
      </c>
      <c r="O7" s="4" t="s">
        <v>27</v>
      </c>
    </row>
    <row r="8" customFormat="false" ht="60" hidden="false" customHeight="true" outlineLevel="0" collapsed="false">
      <c r="A8" s="4" t="s">
        <v>44</v>
      </c>
      <c r="B8" s="4" t="s">
        <v>18</v>
      </c>
      <c r="C8" s="4" t="s">
        <v>45</v>
      </c>
      <c r="D8" s="4" t="s">
        <v>46</v>
      </c>
      <c r="E8" s="5" t="s">
        <v>47</v>
      </c>
      <c r="F8" s="5" t="s">
        <v>48</v>
      </c>
      <c r="G8" s="5" t="s">
        <v>49</v>
      </c>
      <c r="H8" s="5" t="s">
        <v>50</v>
      </c>
      <c r="I8" s="4" t="n">
        <v>2</v>
      </c>
      <c r="J8" s="4" t="n">
        <v>3</v>
      </c>
      <c r="K8" s="4" t="n">
        <f aca="false">I8*J8</f>
        <v>6</v>
      </c>
      <c r="L8" s="6" t="str">
        <f aca="false">IF(K8&gt;=15,"Critical",IF(K8&gt;=9,"High",IF(K8&gt;=4,"Medium","Low")))</f>
        <v>Medium</v>
      </c>
      <c r="M8" s="4" t="s">
        <v>51</v>
      </c>
      <c r="N8" s="4" t="s">
        <v>52</v>
      </c>
      <c r="O8" s="4" t="s">
        <v>27</v>
      </c>
    </row>
    <row r="9" customFormat="false" ht="60" hidden="false" customHeight="true" outlineLevel="0" collapsed="false">
      <c r="A9" s="4" t="s">
        <v>53</v>
      </c>
      <c r="B9" s="4" t="s">
        <v>18</v>
      </c>
      <c r="C9" s="4" t="s">
        <v>45</v>
      </c>
      <c r="D9" s="4" t="s">
        <v>54</v>
      </c>
      <c r="E9" s="5" t="s">
        <v>55</v>
      </c>
      <c r="F9" s="5" t="s">
        <v>56</v>
      </c>
      <c r="G9" s="5" t="s">
        <v>57</v>
      </c>
      <c r="H9" s="5" t="s">
        <v>58</v>
      </c>
      <c r="I9" s="4" t="n">
        <v>3</v>
      </c>
      <c r="J9" s="4" t="n">
        <v>4</v>
      </c>
      <c r="K9" s="4" t="n">
        <f aca="false">I9*J9</f>
        <v>12</v>
      </c>
      <c r="L9" s="6" t="str">
        <f aca="false">IF(K9&gt;=15,"Critical",IF(K9&gt;=9,"High",IF(K9&gt;=4,"Medium","Low")))</f>
        <v>High</v>
      </c>
      <c r="M9" s="4" t="s">
        <v>59</v>
      </c>
      <c r="N9" s="4" t="s">
        <v>60</v>
      </c>
      <c r="O9" s="4" t="s">
        <v>27</v>
      </c>
    </row>
    <row r="10" customFormat="false" ht="60" hidden="false" customHeight="true" outlineLevel="0" collapsed="false">
      <c r="A10" s="4" t="s">
        <v>61</v>
      </c>
      <c r="B10" s="4" t="s">
        <v>18</v>
      </c>
      <c r="C10" s="4" t="s">
        <v>62</v>
      </c>
      <c r="D10" s="4" t="s">
        <v>63</v>
      </c>
      <c r="E10" s="5" t="s">
        <v>64</v>
      </c>
      <c r="F10" s="5" t="s">
        <v>65</v>
      </c>
      <c r="G10" s="5" t="s">
        <v>66</v>
      </c>
      <c r="H10" s="5" t="s">
        <v>67</v>
      </c>
      <c r="I10" s="4" t="n">
        <v>3</v>
      </c>
      <c r="J10" s="4" t="n">
        <v>4</v>
      </c>
      <c r="K10" s="4" t="n">
        <f aca="false">I10*J10</f>
        <v>12</v>
      </c>
      <c r="L10" s="6" t="str">
        <f aca="false">IF(K10&gt;=15,"Critical",IF(K10&gt;=9,"High",IF(K10&gt;=4,"Medium","Low")))</f>
        <v>High</v>
      </c>
      <c r="M10" s="4" t="s">
        <v>68</v>
      </c>
      <c r="N10" s="4" t="s">
        <v>69</v>
      </c>
      <c r="O10" s="4" t="s">
        <v>27</v>
      </c>
    </row>
    <row r="11" customFormat="false" ht="60" hidden="false" customHeight="true" outlineLevel="0" collapsed="false">
      <c r="A11" s="4" t="s">
        <v>70</v>
      </c>
      <c r="B11" s="4" t="s">
        <v>18</v>
      </c>
      <c r="C11" s="4" t="s">
        <v>62</v>
      </c>
      <c r="D11" s="4" t="s">
        <v>63</v>
      </c>
      <c r="E11" s="5" t="s">
        <v>71</v>
      </c>
      <c r="F11" s="5" t="s">
        <v>72</v>
      </c>
      <c r="G11" s="5" t="s">
        <v>73</v>
      </c>
      <c r="H11" s="5" t="s">
        <v>74</v>
      </c>
      <c r="I11" s="4" t="n">
        <v>1</v>
      </c>
      <c r="J11" s="4" t="n">
        <v>3</v>
      </c>
      <c r="K11" s="4" t="n">
        <f aca="false">I11*J11</f>
        <v>3</v>
      </c>
      <c r="L11" s="6" t="str">
        <f aca="false">IF(K11&gt;=15,"Critical",IF(K11&gt;=9,"High",IF(K11&gt;=4,"Medium","Low")))</f>
        <v>Low</v>
      </c>
      <c r="M11" s="4" t="s">
        <v>51</v>
      </c>
      <c r="N11" s="4" t="s">
        <v>75</v>
      </c>
      <c r="O11" s="4" t="s">
        <v>27</v>
      </c>
    </row>
    <row r="12" customFormat="false" ht="60" hidden="false" customHeight="true" outlineLevel="0" collapsed="false">
      <c r="A12" s="4" t="s">
        <v>76</v>
      </c>
      <c r="B12" s="4" t="s">
        <v>18</v>
      </c>
      <c r="C12" s="4" t="s">
        <v>62</v>
      </c>
      <c r="D12" s="4" t="s">
        <v>77</v>
      </c>
      <c r="E12" s="5" t="s">
        <v>78</v>
      </c>
      <c r="F12" s="5" t="s">
        <v>79</v>
      </c>
      <c r="G12" s="5" t="s">
        <v>80</v>
      </c>
      <c r="H12" s="5" t="s">
        <v>81</v>
      </c>
      <c r="I12" s="4" t="n">
        <v>1</v>
      </c>
      <c r="J12" s="4" t="n">
        <v>2</v>
      </c>
      <c r="K12" s="4" t="n">
        <f aca="false">I12*J12</f>
        <v>2</v>
      </c>
      <c r="L12" s="6" t="str">
        <f aca="false">IF(K12&gt;=15,"Critical",IF(K12&gt;=9,"High",IF(K12&gt;=4,"Medium","Low")))</f>
        <v>Low</v>
      </c>
      <c r="M12" s="4" t="s">
        <v>82</v>
      </c>
      <c r="N12" s="4" t="s">
        <v>83</v>
      </c>
      <c r="O12" s="4" t="s">
        <v>27</v>
      </c>
    </row>
    <row r="13" customFormat="false" ht="60" hidden="false" customHeight="true" outlineLevel="0" collapsed="false">
      <c r="A13" s="4" t="s">
        <v>84</v>
      </c>
      <c r="B13" s="4" t="s">
        <v>18</v>
      </c>
      <c r="C13" s="4" t="s">
        <v>85</v>
      </c>
      <c r="D13" s="4" t="s">
        <v>86</v>
      </c>
      <c r="E13" s="5" t="s">
        <v>87</v>
      </c>
      <c r="F13" s="5" t="s">
        <v>88</v>
      </c>
      <c r="G13" s="5" t="s">
        <v>89</v>
      </c>
      <c r="H13" s="5" t="s">
        <v>90</v>
      </c>
      <c r="I13" s="4" t="n">
        <v>4</v>
      </c>
      <c r="J13" s="4" t="n">
        <v>5</v>
      </c>
      <c r="K13" s="4" t="n">
        <f aca="false">I13*J13</f>
        <v>20</v>
      </c>
      <c r="L13" s="6" t="str">
        <f aca="false">IF(K13&gt;=15,"Critical",IF(K13&gt;=9,"High",IF(K13&gt;=4,"Medium","Low")))</f>
        <v>Critical</v>
      </c>
      <c r="M13" s="4" t="s">
        <v>91</v>
      </c>
      <c r="N13" s="4" t="s">
        <v>92</v>
      </c>
      <c r="O13" s="4" t="s">
        <v>27</v>
      </c>
    </row>
    <row r="14" customFormat="false" ht="60" hidden="false" customHeight="true" outlineLevel="0" collapsed="false">
      <c r="A14" s="4" t="s">
        <v>93</v>
      </c>
      <c r="B14" s="4" t="s">
        <v>18</v>
      </c>
      <c r="C14" s="4" t="s">
        <v>85</v>
      </c>
      <c r="D14" s="4" t="s">
        <v>94</v>
      </c>
      <c r="E14" s="5" t="s">
        <v>95</v>
      </c>
      <c r="F14" s="5" t="s">
        <v>88</v>
      </c>
      <c r="G14" s="5" t="s">
        <v>96</v>
      </c>
      <c r="H14" s="5" t="s">
        <v>97</v>
      </c>
      <c r="I14" s="4" t="n">
        <v>3</v>
      </c>
      <c r="J14" s="4" t="n">
        <v>4</v>
      </c>
      <c r="K14" s="4" t="n">
        <f aca="false">I14*J14</f>
        <v>12</v>
      </c>
      <c r="L14" s="6" t="str">
        <f aca="false">IF(K14&gt;=15,"Critical",IF(K14&gt;=9,"High",IF(K14&gt;=4,"Medium","Low")))</f>
        <v>High</v>
      </c>
      <c r="M14" s="4" t="s">
        <v>98</v>
      </c>
      <c r="N14" s="4" t="s">
        <v>92</v>
      </c>
      <c r="O14" s="4" t="s">
        <v>27</v>
      </c>
    </row>
    <row r="15" customFormat="false" ht="60" hidden="false" customHeight="true" outlineLevel="0" collapsed="false">
      <c r="A15" s="4" t="s">
        <v>99</v>
      </c>
      <c r="B15" s="4" t="s">
        <v>18</v>
      </c>
      <c r="C15" s="4" t="s">
        <v>100</v>
      </c>
      <c r="D15" s="4" t="s">
        <v>101</v>
      </c>
      <c r="E15" s="5" t="s">
        <v>102</v>
      </c>
      <c r="F15" s="5" t="s">
        <v>103</v>
      </c>
      <c r="G15" s="5" t="s">
        <v>104</v>
      </c>
      <c r="H15" s="5" t="s">
        <v>105</v>
      </c>
      <c r="I15" s="4" t="n">
        <v>4</v>
      </c>
      <c r="J15" s="4" t="n">
        <v>5</v>
      </c>
      <c r="K15" s="4" t="n">
        <f aca="false">I15*J15</f>
        <v>20</v>
      </c>
      <c r="L15" s="6" t="str">
        <f aca="false">IF(K15&gt;=15,"Critical",IF(K15&gt;=9,"High",IF(K15&gt;=4,"Medium","Low")))</f>
        <v>Critical</v>
      </c>
      <c r="M15" s="4" t="s">
        <v>106</v>
      </c>
      <c r="N15" s="4" t="s">
        <v>107</v>
      </c>
      <c r="O15" s="4" t="s">
        <v>27</v>
      </c>
    </row>
    <row r="16" customFormat="false" ht="60" hidden="false" customHeight="true" outlineLevel="0" collapsed="false">
      <c r="A16" s="4" t="s">
        <v>108</v>
      </c>
      <c r="B16" s="4" t="s">
        <v>18</v>
      </c>
      <c r="C16" s="4" t="s">
        <v>100</v>
      </c>
      <c r="D16" s="4" t="s">
        <v>109</v>
      </c>
      <c r="E16" s="5" t="s">
        <v>110</v>
      </c>
      <c r="F16" s="5" t="s">
        <v>111</v>
      </c>
      <c r="G16" s="5" t="s">
        <v>112</v>
      </c>
      <c r="H16" s="5" t="s">
        <v>113</v>
      </c>
      <c r="I16" s="4" t="n">
        <v>2</v>
      </c>
      <c r="J16" s="4" t="n">
        <v>4</v>
      </c>
      <c r="K16" s="4" t="n">
        <f aca="false">I16*J16</f>
        <v>8</v>
      </c>
      <c r="L16" s="6" t="str">
        <f aca="false">IF(K16&gt;=15,"Critical",IF(K16&gt;=9,"High",IF(K16&gt;=4,"Medium","Low")))</f>
        <v>Medium</v>
      </c>
      <c r="M16" s="4" t="s">
        <v>114</v>
      </c>
      <c r="N16" s="4" t="s">
        <v>115</v>
      </c>
      <c r="O16" s="4" t="s">
        <v>27</v>
      </c>
    </row>
    <row r="17" customFormat="false" ht="60" hidden="false" customHeight="true" outlineLevel="0" collapsed="false">
      <c r="A17" s="4" t="s">
        <v>116</v>
      </c>
      <c r="B17" s="4" t="s">
        <v>18</v>
      </c>
      <c r="C17" s="4" t="s">
        <v>117</v>
      </c>
      <c r="D17" s="4" t="s">
        <v>118</v>
      </c>
      <c r="E17" s="5" t="s">
        <v>119</v>
      </c>
      <c r="F17" s="5" t="s">
        <v>120</v>
      </c>
      <c r="G17" s="5" t="s">
        <v>121</v>
      </c>
      <c r="H17" s="5" t="s">
        <v>122</v>
      </c>
      <c r="I17" s="4" t="n">
        <v>2</v>
      </c>
      <c r="J17" s="4" t="n">
        <v>4</v>
      </c>
      <c r="K17" s="4" t="n">
        <f aca="false">I17*J17</f>
        <v>8</v>
      </c>
      <c r="L17" s="6" t="str">
        <f aca="false">IF(K17&gt;=15,"Critical",IF(K17&gt;=9,"High",IF(K17&gt;=4,"Medium","Low")))</f>
        <v>Medium</v>
      </c>
      <c r="M17" s="4" t="s">
        <v>123</v>
      </c>
      <c r="N17" s="4" t="s">
        <v>124</v>
      </c>
      <c r="O17" s="4" t="s">
        <v>27</v>
      </c>
    </row>
  </sheetData>
  <conditionalFormatting sqref="L5:L17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dataValidations count="1">
    <dataValidation allowBlank="false" errorStyle="stop" operator="between" showDropDown="false" showErrorMessage="false" showInputMessage="false" sqref="O5:O17" type="list">
      <formula1>"Open,In Progress,Mitigated,Accepted,Closed"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75"/>
  </cols>
  <sheetData>
    <row r="1" customFormat="false" ht="17.3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" t="s">
        <v>126</v>
      </c>
    </row>
    <row r="4" customFormat="false" ht="15" hidden="false" customHeight="false" outlineLevel="0" collapsed="false">
      <c r="A4" s="7" t="s">
        <v>127</v>
      </c>
    </row>
    <row r="5" customFormat="false" ht="15" hidden="false" customHeight="false" outlineLevel="0" collapsed="false">
      <c r="A5" s="8" t="s">
        <v>128</v>
      </c>
      <c r="B5" s="8" t="s">
        <v>129</v>
      </c>
      <c r="C5" s="8" t="s">
        <v>130</v>
      </c>
    </row>
    <row r="6" customFormat="false" ht="15" hidden="false" customHeight="false" outlineLevel="0" collapsed="false">
      <c r="A6" s="9" t="n">
        <v>1</v>
      </c>
      <c r="B6" s="9" t="s">
        <v>131</v>
      </c>
      <c r="C6" s="5" t="s">
        <v>132</v>
      </c>
    </row>
    <row r="7" customFormat="false" ht="15" hidden="false" customHeight="false" outlineLevel="0" collapsed="false">
      <c r="A7" s="9" t="n">
        <v>2</v>
      </c>
      <c r="B7" s="9" t="s">
        <v>133</v>
      </c>
      <c r="C7" s="5" t="s">
        <v>134</v>
      </c>
    </row>
    <row r="8" customFormat="false" ht="15" hidden="false" customHeight="false" outlineLevel="0" collapsed="false">
      <c r="A8" s="9" t="n">
        <v>3</v>
      </c>
      <c r="B8" s="9" t="s">
        <v>135</v>
      </c>
      <c r="C8" s="5" t="s">
        <v>136</v>
      </c>
    </row>
    <row r="9" customFormat="false" ht="15" hidden="false" customHeight="false" outlineLevel="0" collapsed="false">
      <c r="A9" s="9" t="n">
        <v>4</v>
      </c>
      <c r="B9" s="9" t="s">
        <v>137</v>
      </c>
      <c r="C9" s="5" t="s">
        <v>138</v>
      </c>
    </row>
    <row r="10" customFormat="false" ht="15" hidden="false" customHeight="false" outlineLevel="0" collapsed="false">
      <c r="A10" s="9" t="n">
        <v>5</v>
      </c>
      <c r="B10" s="9" t="s">
        <v>139</v>
      </c>
      <c r="C10" s="5" t="s">
        <v>140</v>
      </c>
    </row>
    <row r="13" customFormat="false" ht="15" hidden="false" customHeight="false" outlineLevel="0" collapsed="false">
      <c r="A13" s="7" t="s">
        <v>141</v>
      </c>
    </row>
    <row r="14" customFormat="false" ht="15" hidden="false" customHeight="false" outlineLevel="0" collapsed="false">
      <c r="A14" s="8" t="s">
        <v>128</v>
      </c>
      <c r="B14" s="8" t="s">
        <v>129</v>
      </c>
      <c r="C14" s="8" t="s">
        <v>130</v>
      </c>
    </row>
    <row r="15" customFormat="false" ht="23.85" hidden="false" customHeight="false" outlineLevel="0" collapsed="false">
      <c r="A15" s="9" t="n">
        <v>1</v>
      </c>
      <c r="B15" s="9" t="s">
        <v>142</v>
      </c>
      <c r="C15" s="5" t="s">
        <v>143</v>
      </c>
    </row>
    <row r="16" customFormat="false" ht="23.85" hidden="false" customHeight="false" outlineLevel="0" collapsed="false">
      <c r="A16" s="9" t="n">
        <v>2</v>
      </c>
      <c r="B16" s="9" t="s">
        <v>144</v>
      </c>
      <c r="C16" s="5" t="s">
        <v>145</v>
      </c>
    </row>
    <row r="17" customFormat="false" ht="23.85" hidden="false" customHeight="false" outlineLevel="0" collapsed="false">
      <c r="A17" s="9" t="n">
        <v>3</v>
      </c>
      <c r="B17" s="9" t="s">
        <v>146</v>
      </c>
      <c r="C17" s="5" t="s">
        <v>147</v>
      </c>
    </row>
    <row r="18" customFormat="false" ht="23.85" hidden="false" customHeight="false" outlineLevel="0" collapsed="false">
      <c r="A18" s="9" t="n">
        <v>4</v>
      </c>
      <c r="B18" s="9" t="s">
        <v>148</v>
      </c>
      <c r="C18" s="5" t="s">
        <v>149</v>
      </c>
    </row>
    <row r="19" customFormat="false" ht="23.85" hidden="false" customHeight="false" outlineLevel="0" collapsed="false">
      <c r="A19" s="9" t="n">
        <v>5</v>
      </c>
      <c r="B19" s="9" t="s">
        <v>150</v>
      </c>
      <c r="C19" s="5" t="s">
        <v>151</v>
      </c>
    </row>
    <row r="22" customFormat="false" ht="15" hidden="false" customHeight="false" outlineLevel="0" collapsed="false">
      <c r="A22" s="7" t="s">
        <v>152</v>
      </c>
    </row>
    <row r="23" customFormat="false" ht="15" hidden="false" customHeight="false" outlineLevel="0" collapsed="false">
      <c r="A23" s="8" t="s">
        <v>153</v>
      </c>
      <c r="B23" s="8" t="s">
        <v>154</v>
      </c>
    </row>
    <row r="24" customFormat="false" ht="15" hidden="false" customHeight="false" outlineLevel="0" collapsed="false">
      <c r="A24" s="10" t="s">
        <v>155</v>
      </c>
      <c r="B24" s="10" t="s">
        <v>156</v>
      </c>
    </row>
    <row r="25" customFormat="false" ht="15" hidden="false" customHeight="false" outlineLevel="0" collapsed="false">
      <c r="A25" s="11" t="s">
        <v>157</v>
      </c>
      <c r="B25" s="11" t="s">
        <v>158</v>
      </c>
    </row>
    <row r="26" customFormat="false" ht="15" hidden="false" customHeight="false" outlineLevel="0" collapsed="false">
      <c r="A26" s="12" t="s">
        <v>159</v>
      </c>
      <c r="B26" s="12" t="s">
        <v>160</v>
      </c>
    </row>
    <row r="27" customFormat="false" ht="15" hidden="false" customHeight="false" outlineLevel="0" collapsed="false">
      <c r="A27" s="13" t="s">
        <v>161</v>
      </c>
      <c r="B27" s="13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2026-06-17T19:43:14Z</dcterms:created>
  <dc:creator>openpyxl</dc:creator>
  <dc:description/>
  <dc:language>en-US</dc:language>
  <cp:lastModifiedBy/>
  <dcterms:modified xsi:type="dcterms:W3CDTF">2026-06-17T19:43:15Z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